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\yxz\des property\Smiles1+Smiles2\CO2\DATA\"/>
    </mc:Choice>
  </mc:AlternateContent>
  <xr:revisionPtr revIDLastSave="0" documentId="13_ncr:1_{D3D4C768-1512-440E-9A84-A7147A6CA7CC}" xr6:coauthVersionLast="47" xr6:coauthVersionMax="47" xr10:uidLastSave="{00000000-0000-0000-0000-000000000000}"/>
  <bookViews>
    <workbookView xWindow="-28920" yWindow="712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Sheet1!$B$1:$O$2384</definedName>
    <definedName name="_xlchart.v1.0" hidden="1">Sheet1!$M$1</definedName>
    <definedName name="_xlchart.v1.1" hidden="1">Sheet1!$M$2:$M$2384</definedName>
    <definedName name="_xlchart.v1.2" hidden="1">Sheet1!$M$1</definedName>
    <definedName name="_xlchart.v1.3" hidden="1">Sheet1!$M$2:$M$2384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" i="1"/>
  <c r="L6" i="1"/>
  <c r="L5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" i="1"/>
  <c r="L3" i="1"/>
  <c r="L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" i="1"/>
</calcChain>
</file>

<file path=xl/sharedStrings.xml><?xml version="1.0" encoding="utf-8"?>
<sst xmlns="http://schemas.openxmlformats.org/spreadsheetml/2006/main" count="4779" uniqueCount="90">
  <si>
    <t>Smiles1</t>
    <phoneticPr fontId="2" type="noConversion"/>
  </si>
  <si>
    <t>Smiles2</t>
    <phoneticPr fontId="2" type="noConversion"/>
  </si>
  <si>
    <t>CC(=O)OCC[N+](C)(C)C.[Cl-]</t>
    <phoneticPr fontId="2" type="noConversion"/>
  </si>
  <si>
    <t>C=CC[P+](C1=CC=CC=C1)(C2=CC=CC=C2)C3=CC=CC=C3.[Br-]</t>
  </si>
  <si>
    <t>C[N+](C)(CCO)CC1=CC=CC=C1.[Cl-]</t>
    <phoneticPr fontId="2" type="noConversion"/>
  </si>
  <si>
    <t>CC[N+](CC)(CC)CC1=CC=CC=C1.[Cl-]</t>
  </si>
  <si>
    <t>C[N+](C)(C)CC1=CC=CC=C1.[Cl-]</t>
  </si>
  <si>
    <t>C[N+](C)(C)CCO.[Cl-]</t>
  </si>
  <si>
    <t>CC[NH2+]CC.[Cl-]</t>
  </si>
  <si>
    <t>C(=N)(N)N.Cl</t>
  </si>
  <si>
    <t>C[P+](C1=CC=CC=C1)(C2=CC=CC=C2)C3=CC=CC=C3.[Br-]</t>
  </si>
  <si>
    <t>CCCC[N+](CCCC)(CCCC)CCCC.[Br-]</t>
  </si>
  <si>
    <t>CCCC[N+](CCCC)(CCCC)CCCC.[Cl-]</t>
    <phoneticPr fontId="2" type="noConversion"/>
  </si>
  <si>
    <t>CCCC[P+](CCCC)(CCCC)CCCC.[Br-]</t>
  </si>
  <si>
    <t>CC[N+](CC)(CC)CC.[Br-]</t>
  </si>
  <si>
    <t>CC[N+](CC)(CC)CC.[Cl-]</t>
    <phoneticPr fontId="2" type="noConversion"/>
  </si>
  <si>
    <t>CC[N+](C)(CC)CC.[Cl-]</t>
    <phoneticPr fontId="2" type="noConversion"/>
  </si>
  <si>
    <t>C[N+](C)(C)C.[Cl-]</t>
  </si>
  <si>
    <t>CCCCCCCC[N+](CCCCCCCC)(CCCCCCCC)CCCCCCCC.[Br-]</t>
  </si>
  <si>
    <t>CCCCCCCC[N+](CCCCCCCC)(CCCCCCCC)CCCCCCCC.[Cl-]</t>
    <phoneticPr fontId="2" type="noConversion"/>
  </si>
  <si>
    <t>CCCCCCCC[N+](C)(CCCCCCCC)CCCCCCCC.[Br-]</t>
  </si>
  <si>
    <t>CCCCCCCC[N+](C)(CCCCCCCC)CCCCCCCC.[Cl-]</t>
    <phoneticPr fontId="2" type="noConversion"/>
  </si>
  <si>
    <t>CCC[N+](CCC)(CCC)CCC.[Cl-]</t>
  </si>
  <si>
    <t>C1=CC=C(C=C1)CN=C=S</t>
  </si>
  <si>
    <t>C1=CC=C(C=C1)C[P+](C2=CC=CC=C2)(C3=CC=CC=C3)C4=CC=CC=C4.[Cl-]</t>
  </si>
  <si>
    <t>C[N+](C)(C)CC(=O)[O-]</t>
  </si>
  <si>
    <t>CC1=CCC(CC1=O)C(=C)C</t>
  </si>
  <si>
    <t>CC1=CCC(CC1=O)C(=C)C</t>
    <phoneticPr fontId="2" type="noConversion"/>
  </si>
  <si>
    <t>CC1(C2CCC(O1)(CC2)C)C</t>
    <phoneticPr fontId="2" type="noConversion"/>
  </si>
  <si>
    <t>C1=CC=C2C(=C1)C=CN2</t>
  </si>
  <si>
    <t>C[C@@H]1CC[C@H]([C@@H](C1)O)C(C)C</t>
  </si>
  <si>
    <t>COC(=O)C1=CC=CC=C1O</t>
    <phoneticPr fontId="2" type="noConversion"/>
  </si>
  <si>
    <t>CCCC[P+](C1=CC=CC=C1)(C2=CC=CC=C2)C3=CC=CC=C3.[Br-]</t>
  </si>
  <si>
    <t>CC1=CC(=C(C=C1)C(C)C)O</t>
  </si>
  <si>
    <t>COC1=C(C=CC(=C1)C=O)O</t>
  </si>
  <si>
    <t>CC(CO)O</t>
    <phoneticPr fontId="2" type="noConversion"/>
  </si>
  <si>
    <t>C(CCO)CO</t>
  </si>
  <si>
    <t>CC(C(C)O)O</t>
  </si>
  <si>
    <t> CC1=C(C(=CC=C1)C)O</t>
  </si>
  <si>
    <t>CC(=O)O</t>
  </si>
  <si>
    <t>C(CO)O</t>
  </si>
  <si>
    <t>CC1(C2CCC1(C(=O)C2)C)C</t>
  </si>
  <si>
    <t>C(C(CO)O)O</t>
  </si>
  <si>
    <t>C(CO)NCCO</t>
  </si>
  <si>
    <t>CCCCCCCCCC(=O)O</t>
  </si>
  <si>
    <t>C(COCCO)O</t>
  </si>
  <si>
    <t>C(CO)N</t>
  </si>
  <si>
    <t>CCNCCO</t>
  </si>
  <si>
    <t>C(CO)C#N</t>
  </si>
  <si>
    <t>C1=COC(=C1)CO</t>
  </si>
  <si>
    <t>COC1=CC=CC=C1O</t>
    <phoneticPr fontId="2" type="noConversion"/>
  </si>
  <si>
    <t>CCCCCC(=O)O</t>
  </si>
  <si>
    <t>CC1=CC(=O)CC(C1=O)(C)C</t>
  </si>
  <si>
    <t>CC(C(=O)O)O</t>
  </si>
  <si>
    <t>CC(=O)CCC(=O)O</t>
  </si>
  <si>
    <t>CNCCO</t>
  </si>
  <si>
    <t>CN(CCO)CCO</t>
  </si>
  <si>
    <t>CC1=NC2=CC=CC=C2S1</t>
  </si>
  <si>
    <t>C1=CC=C(C=C1)O</t>
  </si>
  <si>
    <t>COC(=O)C1=CC=CC=C1O</t>
  </si>
  <si>
    <t>C(COCCOCCO)O</t>
  </si>
  <si>
    <t>C(=O)(N)N</t>
  </si>
  <si>
    <t>Molar1</t>
    <phoneticPr fontId="2" type="noConversion"/>
  </si>
  <si>
    <t>Molar2</t>
    <phoneticPr fontId="2" type="noConversion"/>
  </si>
  <si>
    <t>xCO2Exp</t>
    <phoneticPr fontId="2" type="noConversion"/>
  </si>
  <si>
    <t>Smiles</t>
    <phoneticPr fontId="2" type="noConversion"/>
  </si>
  <si>
    <t>group</t>
  </si>
  <si>
    <t>C1=CC(=C(C=C1F)F)C(CN2C=NC=N2)(CN3C=NC=N3)O</t>
    <phoneticPr fontId="2" type="noConversion"/>
  </si>
  <si>
    <t>C1=CN=CN1</t>
    <phoneticPr fontId="2" type="noConversion"/>
  </si>
  <si>
    <t>CCCCCCCCCC(=O)O</t>
    <phoneticPr fontId="2" type="noConversion"/>
  </si>
  <si>
    <t>CC(=O)O</t>
    <phoneticPr fontId="2" type="noConversion"/>
  </si>
  <si>
    <t>CC(C(=O)O)O</t>
    <phoneticPr fontId="2" type="noConversion"/>
  </si>
  <si>
    <t>C(CO)O</t>
    <phoneticPr fontId="2" type="noConversion"/>
  </si>
  <si>
    <t>C(C(CO)O)O</t>
    <phoneticPr fontId="2" type="noConversion"/>
  </si>
  <si>
    <t>CC(=O)CCC(=O)O</t>
    <phoneticPr fontId="2" type="noConversion"/>
  </si>
  <si>
    <t>CCCCCC(=O)O</t>
    <phoneticPr fontId="2" type="noConversion"/>
  </si>
  <si>
    <t>CCCCCCCC(=O)O</t>
    <phoneticPr fontId="2" type="noConversion"/>
  </si>
  <si>
    <t>C1=CC=C(C=C1)O</t>
    <phoneticPr fontId="2" type="noConversion"/>
  </si>
  <si>
    <t>CC1CCC(C(C1)O)C(C)C</t>
    <phoneticPr fontId="2" type="noConversion"/>
  </si>
  <si>
    <t>CC1=CC(=C(C=C1)C(C)C)O</t>
    <phoneticPr fontId="2" type="noConversion"/>
  </si>
  <si>
    <t>CC1=CC(=O)CC(C1=O)(C)C</t>
    <phoneticPr fontId="2" type="noConversion"/>
  </si>
  <si>
    <t>T/(K)</t>
    <phoneticPr fontId="2" type="noConversion"/>
  </si>
  <si>
    <t>P/(kPa)</t>
    <phoneticPr fontId="2" type="noConversion"/>
  </si>
  <si>
    <r>
      <rPr>
        <b/>
        <sz val="10"/>
        <rFont val="Times New Roman"/>
        <family val="2"/>
      </rPr>
      <t>ln(</t>
    </r>
    <r>
      <rPr>
        <b/>
        <i/>
        <sz val="10"/>
        <rFont val="Times New Roman"/>
        <family val="2"/>
      </rPr>
      <t>x</t>
    </r>
    <r>
      <rPr>
        <b/>
        <sz val="6"/>
        <rFont val="Times New Roman"/>
        <family val="2"/>
      </rPr>
      <t>CO2Exp.)</t>
    </r>
    <phoneticPr fontId="2" type="noConversion"/>
  </si>
  <si>
    <t> CC1=C(C(=CC=C1)C)O</t>
    <phoneticPr fontId="2" type="noConversion"/>
  </si>
  <si>
    <t>C[N+](C)(C)CCO.[Cl-]</t>
    <phoneticPr fontId="2" type="noConversion"/>
  </si>
  <si>
    <t>C(=O)(N)N</t>
    <phoneticPr fontId="2" type="noConversion"/>
  </si>
  <si>
    <t>index</t>
    <phoneticPr fontId="2" type="noConversion"/>
  </si>
  <si>
    <t>Normal_T</t>
    <phoneticPr fontId="2" type="noConversion"/>
  </si>
  <si>
    <t>Normal_P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</si>
</sst>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b/>
      <sz val="10"/>
      <color theme="1"/>
      <name val="Times New Roman"/>
      <family val="2"/>
    </font>
    <font>
      <sz val="9"/>
      <name val="等线"/>
      <family val="3"/>
      <charset val="134"/>
      <scheme val="minor"/>
    </font>
    <font>
      <b/>
      <sz val="6"/>
      <name val="Times New Roman"/>
      <family val="2"/>
    </font>
    <font>
      <b/>
      <i/>
      <sz val="10"/>
      <name val="Times New Roman"/>
      <family val="2"/>
    </font>
    <font>
      <b/>
      <sz val="10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84"/>
  <sheetViews>
    <sheetView tabSelected="1" topLeftCell="C1" zoomScale="70" zoomScaleNormal="70" workbookViewId="0">
      <selection activeCell="O6" sqref="O6"/>
    </sheetView>
  </sheetViews>
  <sheetFormatPr defaultRowHeight="14.15" x14ac:dyDescent="0.35"/>
  <cols>
    <col min="2" max="2" width="44" customWidth="1"/>
    <col min="3" max="3" width="41.140625" customWidth="1"/>
    <col min="4" max="5" width="51.28515625" customWidth="1"/>
    <col min="9" max="9" width="15.35546875" customWidth="1"/>
    <col min="10" max="10" width="51.28515625" bestFit="1" customWidth="1"/>
    <col min="11" max="11" width="36.92578125" customWidth="1"/>
    <col min="12" max="12" width="27.140625" customWidth="1"/>
    <col min="14" max="14" width="9.140625" customWidth="1"/>
  </cols>
  <sheetData>
    <row r="1" spans="1:14" x14ac:dyDescent="0.35">
      <c r="A1" t="s">
        <v>87</v>
      </c>
      <c r="B1" t="s">
        <v>0</v>
      </c>
      <c r="C1" t="s">
        <v>1</v>
      </c>
      <c r="D1" t="s">
        <v>62</v>
      </c>
      <c r="E1" t="s">
        <v>63</v>
      </c>
      <c r="F1" t="s">
        <v>81</v>
      </c>
      <c r="G1" t="s">
        <v>82</v>
      </c>
      <c r="H1" t="s">
        <v>83</v>
      </c>
      <c r="I1" t="s">
        <v>64</v>
      </c>
      <c r="J1" s="1" t="s">
        <v>65</v>
      </c>
      <c r="K1" t="s">
        <v>66</v>
      </c>
      <c r="M1" t="s">
        <v>88</v>
      </c>
      <c r="N1" t="s">
        <v>89</v>
      </c>
    </row>
    <row r="2" spans="1:14" x14ac:dyDescent="0.35">
      <c r="A2">
        <v>0</v>
      </c>
      <c r="B2" t="s">
        <v>2</v>
      </c>
      <c r="C2" t="s">
        <v>67</v>
      </c>
      <c r="D2">
        <v>0.5</v>
      </c>
      <c r="E2">
        <v>0.5</v>
      </c>
      <c r="F2">
        <v>303.14999999999998</v>
      </c>
      <c r="G2">
        <v>63.7</v>
      </c>
      <c r="H2">
        <f>LN(I2)</f>
        <v>-5.71</v>
      </c>
      <c r="I2">
        <v>3.3126725448998926E-3</v>
      </c>
      <c r="J2" t="str">
        <f>_xlfn.CONCAT(B2,C2)</f>
        <v>CC(=O)OCC[N+](C)(C)C.[Cl-]C1=CC(=C(C=C1F)F)C(CN2C=NC=N2)(CN3C=NC=N3)O</v>
      </c>
      <c r="K2">
        <v>10</v>
      </c>
      <c r="L2">
        <f>_xlfn.STDEV.P(F2:F2385)</f>
        <v>12.759713170904577</v>
      </c>
      <c r="M2">
        <f>(F2-$L$3)/$L$2</f>
        <v>-0.72967870461249518</v>
      </c>
      <c r="N2">
        <f>(G2-$L$6)/$L$5</f>
        <v>-0.58573242385571112</v>
      </c>
    </row>
    <row r="3" spans="1:14" x14ac:dyDescent="0.35">
      <c r="A3">
        <v>1</v>
      </c>
      <c r="B3" t="s">
        <v>2</v>
      </c>
      <c r="C3" t="s">
        <v>67</v>
      </c>
      <c r="D3">
        <v>0.5</v>
      </c>
      <c r="E3">
        <v>0.5</v>
      </c>
      <c r="F3">
        <v>303.14999999999998</v>
      </c>
      <c r="G3">
        <v>107.6</v>
      </c>
      <c r="H3">
        <f t="shared" ref="H3:H66" si="0">LN(I3)</f>
        <v>-5.24</v>
      </c>
      <c r="I3">
        <v>5.3002568358704021E-3</v>
      </c>
      <c r="J3" t="str">
        <f t="shared" ref="J3:J66" si="1">_xlfn.CONCAT(B3,C3)</f>
        <v>CC(=O)OCC[N+](C)(C)C.[Cl-]C1=CC(=C(C=C1F)F)C(CN2C=NC=N2)(CN3C=NC=N3)O</v>
      </c>
      <c r="K3">
        <v>10</v>
      </c>
      <c r="L3">
        <f>AVERAGE(F:F)</f>
        <v>312.46049097777262</v>
      </c>
      <c r="M3">
        <f t="shared" ref="M3:M66" si="2">(F3-$L$3)/$L$2</f>
        <v>-0.72967870461249518</v>
      </c>
      <c r="N3">
        <f t="shared" ref="N3:N66" si="3">(G3-$L$6)/$L$5</f>
        <v>-0.56117979081350045</v>
      </c>
    </row>
    <row r="4" spans="1:14" x14ac:dyDescent="0.35">
      <c r="A4">
        <v>2</v>
      </c>
      <c r="B4" t="s">
        <v>2</v>
      </c>
      <c r="C4" t="s">
        <v>67</v>
      </c>
      <c r="D4">
        <v>0.5</v>
      </c>
      <c r="E4">
        <v>0.5</v>
      </c>
      <c r="F4">
        <v>303.14999999999998</v>
      </c>
      <c r="G4">
        <v>192.5</v>
      </c>
      <c r="H4">
        <f t="shared" si="0"/>
        <v>-4.68</v>
      </c>
      <c r="I4">
        <v>9.2790138870647437E-3</v>
      </c>
      <c r="J4" t="str">
        <f t="shared" si="1"/>
        <v>CC(=O)OCC[N+](C)(C)C.[Cl-]C1=CC(=C(C=C1F)F)C(CN2C=NC=N2)(CN3C=NC=N3)O</v>
      </c>
      <c r="K4">
        <v>10</v>
      </c>
      <c r="M4">
        <f t="shared" si="2"/>
        <v>-0.72967870461249518</v>
      </c>
      <c r="N4">
        <f t="shared" si="3"/>
        <v>-0.5136964526521407</v>
      </c>
    </row>
    <row r="5" spans="1:14" x14ac:dyDescent="0.35">
      <c r="A5">
        <v>3</v>
      </c>
      <c r="B5" t="s">
        <v>2</v>
      </c>
      <c r="C5" t="s">
        <v>67</v>
      </c>
      <c r="D5">
        <v>0.5</v>
      </c>
      <c r="E5">
        <v>0.5</v>
      </c>
      <c r="F5">
        <v>303.14999999999998</v>
      </c>
      <c r="G5">
        <v>288.3</v>
      </c>
      <c r="H5">
        <f t="shared" si="0"/>
        <v>-4.3</v>
      </c>
      <c r="I5">
        <v>1.3568559012200934E-2</v>
      </c>
      <c r="J5" t="str">
        <f t="shared" si="1"/>
        <v>CC(=O)OCC[N+](C)(C)C.[Cl-]C1=CC(=C(C=C1F)F)C(CN2C=NC=N2)(CN3C=NC=N3)O</v>
      </c>
      <c r="K5">
        <v>10</v>
      </c>
      <c r="L5">
        <f>_xlfn.STDEV.P(G:G)</f>
        <v>1787.9956061953683</v>
      </c>
      <c r="M5">
        <f t="shared" si="2"/>
        <v>-0.72967870461249518</v>
      </c>
      <c r="N5">
        <f t="shared" si="3"/>
        <v>-0.4601169026420317</v>
      </c>
    </row>
    <row r="6" spans="1:14" x14ac:dyDescent="0.35">
      <c r="A6">
        <v>4</v>
      </c>
      <c r="B6" t="s">
        <v>2</v>
      </c>
      <c r="C6" t="s">
        <v>67</v>
      </c>
      <c r="D6">
        <v>0.5</v>
      </c>
      <c r="E6">
        <v>0.5</v>
      </c>
      <c r="F6">
        <v>303.14999999999998</v>
      </c>
      <c r="G6">
        <v>382.9</v>
      </c>
      <c r="H6">
        <f t="shared" si="0"/>
        <v>-4.03</v>
      </c>
      <c r="I6">
        <v>1.7774329953659442E-2</v>
      </c>
      <c r="J6" t="str">
        <f t="shared" si="1"/>
        <v>CC(=O)OCC[N+](C)(C)C.[Cl-]C1=CC(=C(C=C1F)F)C(CN2C=NC=N2)(CN3C=NC=N3)O</v>
      </c>
      <c r="K6">
        <v>10</v>
      </c>
      <c r="L6">
        <f>AVERAGE(G:G)</f>
        <v>1110.9870002601747</v>
      </c>
      <c r="M6">
        <f t="shared" si="2"/>
        <v>-0.72967870461249518</v>
      </c>
      <c r="N6">
        <f t="shared" si="3"/>
        <v>-0.40720849522077579</v>
      </c>
    </row>
    <row r="7" spans="1:14" x14ac:dyDescent="0.35">
      <c r="A7">
        <v>5</v>
      </c>
      <c r="B7" t="s">
        <v>2</v>
      </c>
      <c r="C7" t="s">
        <v>67</v>
      </c>
      <c r="D7">
        <v>0.5</v>
      </c>
      <c r="E7">
        <v>0.5</v>
      </c>
      <c r="F7">
        <v>303.14999999999998</v>
      </c>
      <c r="G7">
        <v>496.8</v>
      </c>
      <c r="H7">
        <f t="shared" si="0"/>
        <v>-3.78</v>
      </c>
      <c r="I7">
        <v>2.2822691425092981E-2</v>
      </c>
      <c r="J7" t="str">
        <f t="shared" si="1"/>
        <v>CC(=O)OCC[N+](C)(C)C.[Cl-]C1=CC(=C(C=C1F)F)C(CN2C=NC=N2)(CN3C=NC=N3)O</v>
      </c>
      <c r="K7">
        <v>10</v>
      </c>
      <c r="M7">
        <f t="shared" si="2"/>
        <v>-0.72967870461249518</v>
      </c>
      <c r="N7">
        <f t="shared" si="3"/>
        <v>-0.34350587782879854</v>
      </c>
    </row>
    <row r="8" spans="1:14" x14ac:dyDescent="0.35">
      <c r="A8">
        <v>6</v>
      </c>
      <c r="B8" t="s">
        <v>2</v>
      </c>
      <c r="C8" t="s">
        <v>67</v>
      </c>
      <c r="D8">
        <v>0.5</v>
      </c>
      <c r="E8">
        <v>0.5</v>
      </c>
      <c r="F8">
        <v>303.14999999999998</v>
      </c>
      <c r="G8">
        <v>587.70000000000005</v>
      </c>
      <c r="H8">
        <f t="shared" si="0"/>
        <v>-3.62</v>
      </c>
      <c r="I8">
        <v>2.6782676492638175E-2</v>
      </c>
      <c r="J8" t="str">
        <f t="shared" si="1"/>
        <v>CC(=O)OCC[N+](C)(C)C.[Cl-]C1=CC(=C(C=C1F)F)C(CN2C=NC=N2)(CN3C=NC=N3)O</v>
      </c>
      <c r="K8">
        <v>10</v>
      </c>
      <c r="M8">
        <f t="shared" si="2"/>
        <v>-0.72967870461249518</v>
      </c>
      <c r="N8">
        <f t="shared" si="3"/>
        <v>-0.29266682672317307</v>
      </c>
    </row>
    <row r="9" spans="1:14" x14ac:dyDescent="0.35">
      <c r="A9">
        <v>7</v>
      </c>
      <c r="B9" t="s">
        <v>2</v>
      </c>
      <c r="C9" t="s">
        <v>67</v>
      </c>
      <c r="D9">
        <v>0.5</v>
      </c>
      <c r="E9">
        <v>0.5</v>
      </c>
      <c r="F9">
        <v>313.14999999999998</v>
      </c>
      <c r="G9">
        <v>56.3</v>
      </c>
      <c r="H9">
        <f t="shared" si="0"/>
        <v>-6.07</v>
      </c>
      <c r="I9">
        <v>2.3111732106021292E-3</v>
      </c>
      <c r="J9" t="str">
        <f t="shared" si="1"/>
        <v>CC(=O)OCC[N+](C)(C)C.[Cl-]C1=CC(=C(C=C1F)F)C(CN2C=NC=N2)(CN3C=NC=N3)O</v>
      </c>
      <c r="K9">
        <v>10</v>
      </c>
      <c r="M9">
        <f t="shared" si="2"/>
        <v>5.4037971934950142E-2</v>
      </c>
      <c r="N9">
        <f t="shared" si="3"/>
        <v>-0.5898711364869722</v>
      </c>
    </row>
    <row r="10" spans="1:14" x14ac:dyDescent="0.35">
      <c r="A10">
        <v>8</v>
      </c>
      <c r="B10" t="s">
        <v>2</v>
      </c>
      <c r="C10" t="s">
        <v>67</v>
      </c>
      <c r="D10">
        <v>0.5</v>
      </c>
      <c r="E10">
        <v>0.5</v>
      </c>
      <c r="F10">
        <v>313.14999999999998</v>
      </c>
      <c r="G10">
        <v>101.6</v>
      </c>
      <c r="H10">
        <f t="shared" si="0"/>
        <v>-5.52</v>
      </c>
      <c r="I10">
        <v>4.0058479420904203E-3</v>
      </c>
      <c r="J10" t="str">
        <f t="shared" si="1"/>
        <v>CC(=O)OCC[N+](C)(C)C.[Cl-]C1=CC(=C(C=C1F)F)C(CN2C=NC=N2)(CN3C=NC=N3)O</v>
      </c>
      <c r="K10">
        <v>10</v>
      </c>
      <c r="M10">
        <f t="shared" si="2"/>
        <v>5.4037971934950142E-2</v>
      </c>
      <c r="N10">
        <f t="shared" si="3"/>
        <v>-0.56453550375776618</v>
      </c>
    </row>
    <row r="11" spans="1:14" x14ac:dyDescent="0.35">
      <c r="A11">
        <v>9</v>
      </c>
      <c r="B11" t="s">
        <v>2</v>
      </c>
      <c r="C11" t="s">
        <v>67</v>
      </c>
      <c r="D11">
        <v>0.5</v>
      </c>
      <c r="E11">
        <v>0.5</v>
      </c>
      <c r="F11">
        <v>313.14999999999998</v>
      </c>
      <c r="G11">
        <v>219.6</v>
      </c>
      <c r="H11">
        <f t="shared" si="0"/>
        <v>-4.76</v>
      </c>
      <c r="I11">
        <v>8.5656093974980606E-3</v>
      </c>
      <c r="J11" t="str">
        <f t="shared" si="1"/>
        <v>CC(=O)OCC[N+](C)(C)C.[Cl-]C1=CC(=C(C=C1F)F)C(CN2C=NC=N2)(CN3C=NC=N3)O</v>
      </c>
      <c r="K11">
        <v>10</v>
      </c>
      <c r="M11">
        <f t="shared" si="2"/>
        <v>5.4037971934950142E-2</v>
      </c>
      <c r="N11">
        <f t="shared" si="3"/>
        <v>-0.49853981585387397</v>
      </c>
    </row>
    <row r="12" spans="1:14" x14ac:dyDescent="0.35">
      <c r="A12">
        <v>10</v>
      </c>
      <c r="B12" t="s">
        <v>2</v>
      </c>
      <c r="C12" t="s">
        <v>67</v>
      </c>
      <c r="D12">
        <v>0.5</v>
      </c>
      <c r="E12">
        <v>0.5</v>
      </c>
      <c r="F12">
        <v>313.14999999999998</v>
      </c>
      <c r="G12">
        <v>366.6</v>
      </c>
      <c r="H12">
        <f t="shared" si="0"/>
        <v>-4.25</v>
      </c>
      <c r="I12">
        <v>1.4264233908999256E-2</v>
      </c>
      <c r="J12" t="str">
        <f t="shared" si="1"/>
        <v>CC(=O)OCC[N+](C)(C)C.[Cl-]C1=CC(=C(C=C1F)F)C(CN2C=NC=N2)(CN3C=NC=N3)O</v>
      </c>
      <c r="K12">
        <v>10</v>
      </c>
      <c r="M12">
        <f t="shared" si="2"/>
        <v>5.4037971934950142E-2</v>
      </c>
      <c r="N12">
        <f t="shared" si="3"/>
        <v>-0.41632484871936426</v>
      </c>
    </row>
    <row r="13" spans="1:14" x14ac:dyDescent="0.35">
      <c r="A13">
        <v>11</v>
      </c>
      <c r="B13" t="s">
        <v>2</v>
      </c>
      <c r="C13" t="s">
        <v>67</v>
      </c>
      <c r="D13">
        <v>0.5</v>
      </c>
      <c r="E13">
        <v>0.5</v>
      </c>
      <c r="F13">
        <v>313.14999999999998</v>
      </c>
      <c r="G13">
        <v>444.5</v>
      </c>
      <c r="H13">
        <f t="shared" si="0"/>
        <v>-4.0599999999999996</v>
      </c>
      <c r="I13">
        <v>1.7249019115346279E-2</v>
      </c>
      <c r="J13" t="str">
        <f t="shared" si="1"/>
        <v>CC(=O)OCC[N+](C)(C)C.[Cl-]C1=CC(=C(C=C1F)F)C(CN2C=NC=N2)(CN3C=NC=N3)O</v>
      </c>
      <c r="K13">
        <v>10</v>
      </c>
      <c r="M13">
        <f t="shared" si="2"/>
        <v>5.4037971934950142E-2</v>
      </c>
      <c r="N13">
        <f t="shared" si="3"/>
        <v>-0.37275650899298118</v>
      </c>
    </row>
    <row r="14" spans="1:14" x14ac:dyDescent="0.35">
      <c r="A14">
        <v>12</v>
      </c>
      <c r="B14" t="s">
        <v>2</v>
      </c>
      <c r="C14" t="s">
        <v>67</v>
      </c>
      <c r="D14">
        <v>0.5</v>
      </c>
      <c r="E14">
        <v>0.5</v>
      </c>
      <c r="F14">
        <v>313.14999999999998</v>
      </c>
      <c r="G14">
        <v>523.9</v>
      </c>
      <c r="H14">
        <f t="shared" si="0"/>
        <v>-3.89</v>
      </c>
      <c r="I14">
        <v>2.0445346037937653E-2</v>
      </c>
      <c r="J14" t="str">
        <f t="shared" si="1"/>
        <v>CC(=O)OCC[N+](C)(C)C.[Cl-]C1=CC(=C(C=C1F)F)C(CN2C=NC=N2)(CN3C=NC=N3)O</v>
      </c>
      <c r="K14">
        <v>10</v>
      </c>
      <c r="M14">
        <f t="shared" si="2"/>
        <v>5.4037971934950142E-2</v>
      </c>
      <c r="N14">
        <f t="shared" si="3"/>
        <v>-0.32834924103053176</v>
      </c>
    </row>
    <row r="15" spans="1:14" x14ac:dyDescent="0.35">
      <c r="A15">
        <v>13</v>
      </c>
      <c r="B15" t="s">
        <v>2</v>
      </c>
      <c r="C15" t="s">
        <v>67</v>
      </c>
      <c r="D15">
        <v>0.5</v>
      </c>
      <c r="E15">
        <v>0.5</v>
      </c>
      <c r="F15">
        <v>313.14999999999998</v>
      </c>
      <c r="G15">
        <v>572.20000000000005</v>
      </c>
      <c r="H15">
        <f t="shared" si="0"/>
        <v>-3.79</v>
      </c>
      <c r="I15">
        <v>2.2595601851121864E-2</v>
      </c>
      <c r="J15" t="str">
        <f t="shared" si="1"/>
        <v>CC(=O)OCC[N+](C)(C)C.[Cl-]C1=CC(=C(C=C1F)F)C(CN2C=NC=N2)(CN3C=NC=N3)O</v>
      </c>
      <c r="K15">
        <v>10</v>
      </c>
      <c r="M15">
        <f t="shared" si="2"/>
        <v>5.4037971934950142E-2</v>
      </c>
      <c r="N15">
        <f t="shared" si="3"/>
        <v>-0.30133575182919281</v>
      </c>
    </row>
    <row r="16" spans="1:14" x14ac:dyDescent="0.35">
      <c r="A16">
        <v>14</v>
      </c>
      <c r="B16" t="s">
        <v>2</v>
      </c>
      <c r="C16" t="s">
        <v>67</v>
      </c>
      <c r="D16">
        <v>0.5</v>
      </c>
      <c r="E16">
        <v>0.5</v>
      </c>
      <c r="F16">
        <v>323.14999999999998</v>
      </c>
      <c r="G16">
        <v>58.4</v>
      </c>
      <c r="H16">
        <f t="shared" si="0"/>
        <v>-6.27</v>
      </c>
      <c r="I16">
        <v>1.8922285832099397E-3</v>
      </c>
      <c r="J16" t="str">
        <f t="shared" si="1"/>
        <v>CC(=O)OCC[N+](C)(C)C.[Cl-]C1=CC(=C(C=C1F)F)C(CN2C=NC=N2)(CN3C=NC=N3)O</v>
      </c>
      <c r="K16">
        <v>10</v>
      </c>
      <c r="M16">
        <f t="shared" si="2"/>
        <v>0.83775464848239545</v>
      </c>
      <c r="N16">
        <f t="shared" si="3"/>
        <v>-0.58869663695647911</v>
      </c>
    </row>
    <row r="17" spans="1:14" x14ac:dyDescent="0.35">
      <c r="A17">
        <v>15</v>
      </c>
      <c r="B17" t="s">
        <v>2</v>
      </c>
      <c r="C17" t="s">
        <v>67</v>
      </c>
      <c r="D17">
        <v>0.5</v>
      </c>
      <c r="E17">
        <v>0.5</v>
      </c>
      <c r="F17">
        <v>323.14999999999998</v>
      </c>
      <c r="G17">
        <v>147.69999999999999</v>
      </c>
      <c r="H17">
        <f t="shared" si="0"/>
        <v>-5.34</v>
      </c>
      <c r="I17">
        <v>4.7958707102964213E-3</v>
      </c>
      <c r="J17" t="str">
        <f t="shared" si="1"/>
        <v>CC(=O)OCC[N+](C)(C)C.[Cl-]C1=CC(=C(C=C1F)F)C(CN2C=NC=N2)(CN3C=NC=N3)O</v>
      </c>
      <c r="K17">
        <v>10</v>
      </c>
      <c r="M17">
        <f t="shared" si="2"/>
        <v>0.83775464848239545</v>
      </c>
      <c r="N17">
        <f t="shared" si="3"/>
        <v>-0.53875244263599131</v>
      </c>
    </row>
    <row r="18" spans="1:14" x14ac:dyDescent="0.35">
      <c r="A18">
        <v>16</v>
      </c>
      <c r="B18" t="s">
        <v>2</v>
      </c>
      <c r="C18" t="s">
        <v>67</v>
      </c>
      <c r="D18">
        <v>0.5</v>
      </c>
      <c r="E18">
        <v>0.5</v>
      </c>
      <c r="F18">
        <v>323.14999999999998</v>
      </c>
      <c r="G18">
        <v>251.5</v>
      </c>
      <c r="H18">
        <f t="shared" si="0"/>
        <v>-4.88</v>
      </c>
      <c r="I18">
        <v>7.597014027577567E-3</v>
      </c>
      <c r="J18" t="str">
        <f t="shared" si="1"/>
        <v>CC(=O)OCC[N+](C)(C)C.[Cl-]C1=CC(=C(C=C1F)F)C(CN2C=NC=N2)(CN3C=NC=N3)O</v>
      </c>
      <c r="K18">
        <v>10</v>
      </c>
      <c r="M18">
        <f t="shared" si="2"/>
        <v>0.83775464848239545</v>
      </c>
      <c r="N18">
        <f t="shared" si="3"/>
        <v>-0.48069860870019465</v>
      </c>
    </row>
    <row r="19" spans="1:14" x14ac:dyDescent="0.35">
      <c r="A19">
        <v>17</v>
      </c>
      <c r="B19" t="s">
        <v>2</v>
      </c>
      <c r="C19" t="s">
        <v>67</v>
      </c>
      <c r="D19">
        <v>0.5</v>
      </c>
      <c r="E19">
        <v>0.5</v>
      </c>
      <c r="F19">
        <v>323.14999999999998</v>
      </c>
      <c r="G19">
        <v>340.7</v>
      </c>
      <c r="H19">
        <f t="shared" si="0"/>
        <v>-4.55</v>
      </c>
      <c r="I19">
        <v>1.0567204383852655E-2</v>
      </c>
      <c r="J19" t="str">
        <f t="shared" si="1"/>
        <v>CC(=O)OCC[N+](C)(C)C.[Cl-]C1=CC(=C(C=C1F)F)C(CN2C=NC=N2)(CN3C=NC=N3)O</v>
      </c>
      <c r="K19">
        <v>10</v>
      </c>
      <c r="M19">
        <f t="shared" si="2"/>
        <v>0.83775464848239545</v>
      </c>
      <c r="N19">
        <f t="shared" si="3"/>
        <v>-0.43081034292877785</v>
      </c>
    </row>
    <row r="20" spans="1:14" x14ac:dyDescent="0.35">
      <c r="A20">
        <v>18</v>
      </c>
      <c r="B20" t="s">
        <v>2</v>
      </c>
      <c r="C20" t="s">
        <v>67</v>
      </c>
      <c r="D20">
        <v>0.5</v>
      </c>
      <c r="E20">
        <v>0.5</v>
      </c>
      <c r="F20">
        <v>323.14999999999998</v>
      </c>
      <c r="G20">
        <v>439</v>
      </c>
      <c r="H20">
        <f t="shared" si="0"/>
        <v>-4.3</v>
      </c>
      <c r="I20">
        <v>1.3568559012200934E-2</v>
      </c>
      <c r="J20" t="str">
        <f t="shared" si="1"/>
        <v>CC(=O)OCC[N+](C)(C)C.[Cl-]C1=CC(=C(C=C1F)F)C(CN2C=NC=N2)(CN3C=NC=N3)O</v>
      </c>
      <c r="K20">
        <v>10</v>
      </c>
      <c r="M20">
        <f t="shared" si="2"/>
        <v>0.83775464848239545</v>
      </c>
      <c r="N20">
        <f t="shared" si="3"/>
        <v>-0.37583257919189145</v>
      </c>
    </row>
    <row r="21" spans="1:14" x14ac:dyDescent="0.35">
      <c r="A21">
        <v>19</v>
      </c>
      <c r="B21" t="s">
        <v>2</v>
      </c>
      <c r="C21" t="s">
        <v>67</v>
      </c>
      <c r="D21">
        <v>0.5</v>
      </c>
      <c r="E21">
        <v>0.5</v>
      </c>
      <c r="F21">
        <v>323.14999999999998</v>
      </c>
      <c r="G21">
        <v>542</v>
      </c>
      <c r="H21">
        <f t="shared" si="0"/>
        <v>-4.07</v>
      </c>
      <c r="I21">
        <v>1.7077388507484793E-2</v>
      </c>
      <c r="J21" t="str">
        <f t="shared" si="1"/>
        <v>CC(=O)OCC[N+](C)(C)C.[Cl-]C1=CC(=C(C=C1F)F)C(CN2C=NC=N2)(CN3C=NC=N3)O</v>
      </c>
      <c r="K21">
        <v>10</v>
      </c>
      <c r="M21">
        <f t="shared" si="2"/>
        <v>0.83775464848239545</v>
      </c>
      <c r="N21">
        <f t="shared" si="3"/>
        <v>-0.31822617364866351</v>
      </c>
    </row>
    <row r="22" spans="1:14" x14ac:dyDescent="0.35">
      <c r="A22">
        <v>20</v>
      </c>
      <c r="B22" t="s">
        <v>2</v>
      </c>
      <c r="C22" t="s">
        <v>67</v>
      </c>
      <c r="D22">
        <v>0.5</v>
      </c>
      <c r="E22">
        <v>0.5</v>
      </c>
      <c r="F22">
        <v>323.14999999999998</v>
      </c>
      <c r="G22">
        <v>593.20000000000005</v>
      </c>
      <c r="H22">
        <f t="shared" si="0"/>
        <v>-3.98</v>
      </c>
      <c r="I22">
        <v>1.8685639337732773E-2</v>
      </c>
      <c r="J22" t="str">
        <f t="shared" si="1"/>
        <v>CC(=O)OCC[N+](C)(C)C.[Cl-]C1=CC(=C(C=C1F)F)C(CN2C=NC=N2)(CN3C=NC=N3)O</v>
      </c>
      <c r="K22">
        <v>10</v>
      </c>
      <c r="M22">
        <f t="shared" si="2"/>
        <v>0.83775464848239545</v>
      </c>
      <c r="N22">
        <f t="shared" si="3"/>
        <v>-0.28959075652426286</v>
      </c>
    </row>
    <row r="23" spans="1:14" x14ac:dyDescent="0.35">
      <c r="A23">
        <v>21</v>
      </c>
      <c r="B23" t="s">
        <v>2</v>
      </c>
      <c r="C23" t="s">
        <v>67</v>
      </c>
      <c r="D23">
        <v>0.5</v>
      </c>
      <c r="E23">
        <v>0.5</v>
      </c>
      <c r="F23">
        <v>333.15</v>
      </c>
      <c r="G23">
        <v>56.3</v>
      </c>
      <c r="H23">
        <f t="shared" si="0"/>
        <v>-6.44</v>
      </c>
      <c r="I23">
        <v>1.5964066806122474E-3</v>
      </c>
      <c r="J23" t="str">
        <f t="shared" si="1"/>
        <v>CC(=O)OCC[N+](C)(C)C.[Cl-]C1=CC(=C(C=C1F)F)C(CN2C=NC=N2)(CN3C=NC=N3)O</v>
      </c>
      <c r="K23">
        <v>10</v>
      </c>
      <c r="M23">
        <f t="shared" si="2"/>
        <v>1.6214713250298407</v>
      </c>
      <c r="N23">
        <f t="shared" si="3"/>
        <v>-0.5898711364869722</v>
      </c>
    </row>
    <row r="24" spans="1:14" x14ac:dyDescent="0.35">
      <c r="A24">
        <v>22</v>
      </c>
      <c r="B24" t="s">
        <v>2</v>
      </c>
      <c r="C24" t="s">
        <v>67</v>
      </c>
      <c r="D24">
        <v>0.5</v>
      </c>
      <c r="E24">
        <v>0.5</v>
      </c>
      <c r="F24">
        <v>333.15</v>
      </c>
      <c r="G24">
        <v>116.3</v>
      </c>
      <c r="H24">
        <f t="shared" si="0"/>
        <v>-5.68</v>
      </c>
      <c r="I24">
        <v>3.4135584433954303E-3</v>
      </c>
      <c r="J24" t="str">
        <f t="shared" si="1"/>
        <v>CC(=O)OCC[N+](C)(C)C.[Cl-]C1=CC(=C(C=C1F)F)C(CN2C=NC=N2)(CN3C=NC=N3)O</v>
      </c>
      <c r="K24">
        <v>10</v>
      </c>
      <c r="M24">
        <f t="shared" si="2"/>
        <v>1.6214713250298407</v>
      </c>
      <c r="N24">
        <f t="shared" si="3"/>
        <v>-0.55631400704431522</v>
      </c>
    </row>
    <row r="25" spans="1:14" x14ac:dyDescent="0.35">
      <c r="A25">
        <v>23</v>
      </c>
      <c r="B25" t="s">
        <v>2</v>
      </c>
      <c r="C25" t="s">
        <v>67</v>
      </c>
      <c r="D25">
        <v>0.5</v>
      </c>
      <c r="E25">
        <v>0.5</v>
      </c>
      <c r="F25">
        <v>333.15</v>
      </c>
      <c r="G25">
        <v>186.5</v>
      </c>
      <c r="H25">
        <f t="shared" si="0"/>
        <v>-5.28</v>
      </c>
      <c r="I25">
        <v>5.0924307926991904E-3</v>
      </c>
      <c r="J25" t="str">
        <f t="shared" si="1"/>
        <v>CC(=O)OCC[N+](C)(C)C.[Cl-]C1=CC(=C(C=C1F)F)C(CN2C=NC=N2)(CN3C=NC=N3)O</v>
      </c>
      <c r="K25">
        <v>10</v>
      </c>
      <c r="M25">
        <f t="shared" si="2"/>
        <v>1.6214713250298407</v>
      </c>
      <c r="N25">
        <f t="shared" si="3"/>
        <v>-0.51705216559640643</v>
      </c>
    </row>
    <row r="26" spans="1:14" x14ac:dyDescent="0.35">
      <c r="A26">
        <v>24</v>
      </c>
      <c r="B26" t="s">
        <v>2</v>
      </c>
      <c r="C26" t="s">
        <v>67</v>
      </c>
      <c r="D26">
        <v>0.5</v>
      </c>
      <c r="E26">
        <v>0.5</v>
      </c>
      <c r="F26">
        <v>333.15</v>
      </c>
      <c r="G26">
        <v>290.89999999999998</v>
      </c>
      <c r="H26">
        <f t="shared" si="0"/>
        <v>-4.84</v>
      </c>
      <c r="I26">
        <v>7.9070540515934415E-3</v>
      </c>
      <c r="J26" t="str">
        <f t="shared" si="1"/>
        <v>CC(=O)OCC[N+](C)(C)C.[Cl-]C1=CC(=C(C=C1F)F)C(CN2C=NC=N2)(CN3C=NC=N3)O</v>
      </c>
      <c r="K26">
        <v>10</v>
      </c>
      <c r="M26">
        <f t="shared" si="2"/>
        <v>1.6214713250298407</v>
      </c>
      <c r="N26">
        <f t="shared" si="3"/>
        <v>-0.4586627603661832</v>
      </c>
    </row>
    <row r="27" spans="1:14" x14ac:dyDescent="0.35">
      <c r="A27">
        <v>25</v>
      </c>
      <c r="B27" t="s">
        <v>2</v>
      </c>
      <c r="C27" t="s">
        <v>67</v>
      </c>
      <c r="D27">
        <v>0.5</v>
      </c>
      <c r="E27">
        <v>0.5</v>
      </c>
      <c r="F27">
        <v>333.15</v>
      </c>
      <c r="G27">
        <v>396.1</v>
      </c>
      <c r="H27">
        <f t="shared" si="0"/>
        <v>-4.5599999999999996</v>
      </c>
      <c r="I27">
        <v>1.0462058943426803E-2</v>
      </c>
      <c r="J27" t="str">
        <f t="shared" si="1"/>
        <v>CC(=O)OCC[N+](C)(C)C.[Cl-]C1=CC(=C(C=C1F)F)C(CN2C=NC=N2)(CN3C=NC=N3)O</v>
      </c>
      <c r="K27">
        <v>10</v>
      </c>
      <c r="M27">
        <f t="shared" si="2"/>
        <v>1.6214713250298407</v>
      </c>
      <c r="N27">
        <f t="shared" si="3"/>
        <v>-0.39982592674339118</v>
      </c>
    </row>
    <row r="28" spans="1:14" x14ac:dyDescent="0.35">
      <c r="A28">
        <v>26</v>
      </c>
      <c r="B28" t="s">
        <v>2</v>
      </c>
      <c r="C28" t="s">
        <v>67</v>
      </c>
      <c r="D28">
        <v>0.5</v>
      </c>
      <c r="E28">
        <v>0.5</v>
      </c>
      <c r="F28">
        <v>333.15</v>
      </c>
      <c r="G28">
        <v>487.4</v>
      </c>
      <c r="H28">
        <f t="shared" si="0"/>
        <v>-4.33</v>
      </c>
      <c r="I28">
        <v>1.3167547490079751E-2</v>
      </c>
      <c r="J28" t="str">
        <f t="shared" si="1"/>
        <v>CC(=O)OCC[N+](C)(C)C.[Cl-]C1=CC(=C(C=C1F)F)C(CN2C=NC=N2)(CN3C=NC=N3)O</v>
      </c>
      <c r="K28">
        <v>10</v>
      </c>
      <c r="M28">
        <f t="shared" si="2"/>
        <v>1.6214713250298407</v>
      </c>
      <c r="N28">
        <f t="shared" si="3"/>
        <v>-0.34876316144148145</v>
      </c>
    </row>
    <row r="29" spans="1:14" x14ac:dyDescent="0.35">
      <c r="A29">
        <v>27</v>
      </c>
      <c r="B29" t="s">
        <v>2</v>
      </c>
      <c r="C29" t="s">
        <v>67</v>
      </c>
      <c r="D29">
        <v>0.5</v>
      </c>
      <c r="E29">
        <v>0.5</v>
      </c>
      <c r="F29">
        <v>333.15</v>
      </c>
      <c r="G29">
        <v>581</v>
      </c>
      <c r="H29">
        <f t="shared" si="0"/>
        <v>-4.1500000000000004</v>
      </c>
      <c r="I29">
        <v>1.5764416484854486E-2</v>
      </c>
      <c r="J29" t="str">
        <f t="shared" si="1"/>
        <v>CC(=O)OCC[N+](C)(C)C.[Cl-]C1=CC(=C(C=C1F)F)C(CN2C=NC=N2)(CN3C=NC=N3)O</v>
      </c>
      <c r="K29">
        <v>10</v>
      </c>
      <c r="M29">
        <f t="shared" si="2"/>
        <v>1.6214713250298407</v>
      </c>
      <c r="N29">
        <f t="shared" si="3"/>
        <v>-0.29641403951093648</v>
      </c>
    </row>
    <row r="30" spans="1:14" x14ac:dyDescent="0.35">
      <c r="A30">
        <v>28</v>
      </c>
      <c r="B30" t="s">
        <v>79</v>
      </c>
      <c r="C30" t="s">
        <v>84</v>
      </c>
      <c r="D30">
        <v>0.5</v>
      </c>
      <c r="E30">
        <v>0.5</v>
      </c>
      <c r="F30">
        <v>293.14999999999998</v>
      </c>
      <c r="G30">
        <v>3905.7</v>
      </c>
      <c r="H30">
        <f t="shared" si="0"/>
        <v>-0.94289141367133411</v>
      </c>
      <c r="I30">
        <v>0.38950000000000001</v>
      </c>
      <c r="J30" t="str">
        <f t="shared" si="1"/>
        <v>CC1=CC(=C(C=C1)C(C)C)O CC1=C(C(=CC=C1)C)O</v>
      </c>
      <c r="K30">
        <v>17</v>
      </c>
      <c r="M30">
        <f t="shared" si="2"/>
        <v>-1.5133953811599403</v>
      </c>
      <c r="N30">
        <f t="shared" si="3"/>
        <v>1.5630424314557607</v>
      </c>
    </row>
    <row r="31" spans="1:14" x14ac:dyDescent="0.35">
      <c r="A31">
        <v>29</v>
      </c>
      <c r="B31" t="s">
        <v>33</v>
      </c>
      <c r="C31" t="s">
        <v>38</v>
      </c>
      <c r="D31">
        <v>0.5</v>
      </c>
      <c r="E31">
        <v>0.5</v>
      </c>
      <c r="F31">
        <v>293.14999999999998</v>
      </c>
      <c r="G31">
        <v>3198.8</v>
      </c>
      <c r="H31">
        <f t="shared" si="0"/>
        <v>-1.1469625496091564</v>
      </c>
      <c r="I31">
        <v>0.31759999999999999</v>
      </c>
      <c r="J31" t="str">
        <f t="shared" si="1"/>
        <v>CC1=CC(=C(C=C1)C(C)C)O CC1=C(C(=CC=C1)C)O</v>
      </c>
      <c r="K31">
        <v>17</v>
      </c>
      <c r="M31">
        <f t="shared" si="2"/>
        <v>-1.5133953811599403</v>
      </c>
      <c r="N31">
        <f t="shared" si="3"/>
        <v>1.1676835180721898</v>
      </c>
    </row>
    <row r="32" spans="1:14" x14ac:dyDescent="0.35">
      <c r="A32">
        <v>30</v>
      </c>
      <c r="B32" t="s">
        <v>33</v>
      </c>
      <c r="C32" t="s">
        <v>38</v>
      </c>
      <c r="D32">
        <v>0.5</v>
      </c>
      <c r="E32">
        <v>0.5</v>
      </c>
      <c r="F32">
        <v>293.14999999999998</v>
      </c>
      <c r="G32">
        <v>2593.1999999999998</v>
      </c>
      <c r="H32">
        <f t="shared" si="0"/>
        <v>-1.3397925274684708</v>
      </c>
      <c r="I32">
        <v>0.26190000000000002</v>
      </c>
      <c r="J32" t="str">
        <f t="shared" si="1"/>
        <v>CC1=CC(=C(C=C1)C(C)C)O CC1=C(C(=CC=C1)C)O</v>
      </c>
      <c r="K32">
        <v>17</v>
      </c>
      <c r="M32">
        <f t="shared" si="2"/>
        <v>-1.5133953811599403</v>
      </c>
      <c r="N32">
        <f t="shared" si="3"/>
        <v>0.82898022489763812</v>
      </c>
    </row>
    <row r="33" spans="1:14" x14ac:dyDescent="0.35">
      <c r="A33">
        <v>31</v>
      </c>
      <c r="B33" t="s">
        <v>33</v>
      </c>
      <c r="C33" t="s">
        <v>38</v>
      </c>
      <c r="D33">
        <v>0.5</v>
      </c>
      <c r="E33">
        <v>0.5</v>
      </c>
      <c r="F33">
        <v>293.14999999999998</v>
      </c>
      <c r="G33">
        <v>1607</v>
      </c>
      <c r="H33">
        <f t="shared" si="0"/>
        <v>-1.793961892783255</v>
      </c>
      <c r="I33">
        <v>0.1663</v>
      </c>
      <c r="J33" t="str">
        <f t="shared" si="1"/>
        <v>CC1=CC(=C(C=C1)C(C)C)O CC1=C(C(=CC=C1)C)O</v>
      </c>
      <c r="K33">
        <v>17</v>
      </c>
      <c r="M33">
        <f t="shared" si="2"/>
        <v>-1.5133953811599403</v>
      </c>
      <c r="N33">
        <f t="shared" si="3"/>
        <v>0.27741287395849878</v>
      </c>
    </row>
    <row r="34" spans="1:14" x14ac:dyDescent="0.35">
      <c r="A34">
        <v>32</v>
      </c>
      <c r="B34" t="s">
        <v>33</v>
      </c>
      <c r="C34" t="s">
        <v>38</v>
      </c>
      <c r="D34">
        <v>0.5</v>
      </c>
      <c r="E34">
        <v>0.5</v>
      </c>
      <c r="F34">
        <v>303.14999999999998</v>
      </c>
      <c r="G34">
        <v>3984</v>
      </c>
      <c r="H34">
        <f t="shared" si="0"/>
        <v>-1.0481093064950029</v>
      </c>
      <c r="I34">
        <v>0.35060000000000002</v>
      </c>
      <c r="J34" t="str">
        <f t="shared" si="1"/>
        <v>CC1=CC(=C(C=C1)C(C)C)O CC1=C(C(=CC=C1)C)O</v>
      </c>
      <c r="K34">
        <v>17</v>
      </c>
      <c r="M34">
        <f t="shared" si="2"/>
        <v>-0.72967870461249518</v>
      </c>
      <c r="N34">
        <f t="shared" si="3"/>
        <v>1.6068344853784282</v>
      </c>
    </row>
    <row r="35" spans="1:14" x14ac:dyDescent="0.35">
      <c r="A35">
        <v>33</v>
      </c>
      <c r="B35" t="s">
        <v>33</v>
      </c>
      <c r="C35" t="s">
        <v>38</v>
      </c>
      <c r="D35">
        <v>0.5</v>
      </c>
      <c r="E35">
        <v>0.5</v>
      </c>
      <c r="F35">
        <v>303.14999999999998</v>
      </c>
      <c r="G35">
        <v>3256.3</v>
      </c>
      <c r="H35">
        <f t="shared" si="0"/>
        <v>-1.2521131796538709</v>
      </c>
      <c r="I35">
        <v>0.28589999999999999</v>
      </c>
      <c r="J35" t="str">
        <f t="shared" si="1"/>
        <v>CC1=CC(=C(C=C1)C(C)C)O CC1=C(C(=CC=C1)C)O</v>
      </c>
      <c r="K35">
        <v>17</v>
      </c>
      <c r="M35">
        <f t="shared" si="2"/>
        <v>-0.72967870461249518</v>
      </c>
      <c r="N35">
        <f t="shared" si="3"/>
        <v>1.1998424337880695</v>
      </c>
    </row>
    <row r="36" spans="1:14" x14ac:dyDescent="0.35">
      <c r="A36">
        <v>34</v>
      </c>
      <c r="B36" t="s">
        <v>33</v>
      </c>
      <c r="C36" t="s">
        <v>38</v>
      </c>
      <c r="D36">
        <v>0.5</v>
      </c>
      <c r="E36">
        <v>0.5</v>
      </c>
      <c r="F36">
        <v>303.14999999999998</v>
      </c>
      <c r="G36">
        <v>2634.4</v>
      </c>
      <c r="H36">
        <f t="shared" si="0"/>
        <v>-1.4321288974636899</v>
      </c>
      <c r="I36">
        <v>0.23880000000000001</v>
      </c>
      <c r="J36" t="str">
        <f t="shared" si="1"/>
        <v>CC1=CC(=C(C=C1)C(C)C)O CC1=C(C(=CC=C1)C)O</v>
      </c>
      <c r="K36">
        <v>17</v>
      </c>
      <c r="M36">
        <f t="shared" si="2"/>
        <v>-0.72967870461249518</v>
      </c>
      <c r="N36">
        <f t="shared" si="3"/>
        <v>0.8520227871149294</v>
      </c>
    </row>
    <row r="37" spans="1:14" x14ac:dyDescent="0.35">
      <c r="A37">
        <v>35</v>
      </c>
      <c r="B37" t="s">
        <v>33</v>
      </c>
      <c r="C37" t="s">
        <v>38</v>
      </c>
      <c r="D37">
        <v>0.5</v>
      </c>
      <c r="E37">
        <v>0.5</v>
      </c>
      <c r="F37">
        <v>303.14999999999998</v>
      </c>
      <c r="G37">
        <v>1630</v>
      </c>
      <c r="H37">
        <f t="shared" si="0"/>
        <v>-1.8964535403427207</v>
      </c>
      <c r="I37">
        <v>0.15010000000000001</v>
      </c>
      <c r="J37" t="str">
        <f t="shared" si="1"/>
        <v>CC1=CC(=C(C=C1)C(C)C)O CC1=C(C(=CC=C1)C)O</v>
      </c>
      <c r="K37">
        <v>17</v>
      </c>
      <c r="M37">
        <f t="shared" si="2"/>
        <v>-0.72967870461249518</v>
      </c>
      <c r="N37">
        <f t="shared" si="3"/>
        <v>0.29027644024485066</v>
      </c>
    </row>
    <row r="38" spans="1:14" x14ac:dyDescent="0.35">
      <c r="A38">
        <v>36</v>
      </c>
      <c r="B38" t="s">
        <v>33</v>
      </c>
      <c r="C38" t="s">
        <v>38</v>
      </c>
      <c r="D38">
        <v>0.5</v>
      </c>
      <c r="E38">
        <v>0.5</v>
      </c>
      <c r="F38">
        <v>313.14999999999998</v>
      </c>
      <c r="G38">
        <v>4044.1</v>
      </c>
      <c r="H38">
        <f t="shared" si="0"/>
        <v>-1.1783050575773582</v>
      </c>
      <c r="I38">
        <v>0.30780000000000002</v>
      </c>
      <c r="J38" t="str">
        <f t="shared" si="1"/>
        <v>CC1=CC(=C(C=C1)C(C)C)O CC1=C(C(=CC=C1)C)O</v>
      </c>
      <c r="K38">
        <v>17</v>
      </c>
      <c r="M38">
        <f t="shared" si="2"/>
        <v>5.4037971934950142E-2</v>
      </c>
      <c r="N38">
        <f t="shared" si="3"/>
        <v>1.6404475433701562</v>
      </c>
    </row>
    <row r="39" spans="1:14" x14ac:dyDescent="0.35">
      <c r="A39">
        <v>37</v>
      </c>
      <c r="B39" t="s">
        <v>33</v>
      </c>
      <c r="C39" t="s">
        <v>38</v>
      </c>
      <c r="D39">
        <v>0.5</v>
      </c>
      <c r="E39">
        <v>0.5</v>
      </c>
      <c r="F39">
        <v>313.14999999999998</v>
      </c>
      <c r="G39">
        <v>3302.9</v>
      </c>
      <c r="H39">
        <f t="shared" si="0"/>
        <v>-1.3295360273012817</v>
      </c>
      <c r="I39">
        <v>0.2646</v>
      </c>
      <c r="J39" t="str">
        <f t="shared" si="1"/>
        <v>CC1=CC(=C(C=C1)C(C)C)O CC1=C(C(=CC=C1)C)O</v>
      </c>
      <c r="K39">
        <v>17</v>
      </c>
      <c r="M39">
        <f t="shared" si="2"/>
        <v>5.4037971934950142E-2</v>
      </c>
      <c r="N39">
        <f t="shared" si="3"/>
        <v>1.2259051376551999</v>
      </c>
    </row>
    <row r="40" spans="1:14" x14ac:dyDescent="0.35">
      <c r="A40">
        <v>38</v>
      </c>
      <c r="B40" t="s">
        <v>33</v>
      </c>
      <c r="C40" t="s">
        <v>38</v>
      </c>
      <c r="D40">
        <v>0.5</v>
      </c>
      <c r="E40">
        <v>0.5</v>
      </c>
      <c r="F40">
        <v>313.14999999999998</v>
      </c>
      <c r="G40">
        <v>2669.6</v>
      </c>
      <c r="H40">
        <f t="shared" si="0"/>
        <v>-1.5488132906176655</v>
      </c>
      <c r="I40">
        <v>0.21249999999999999</v>
      </c>
      <c r="J40" t="str">
        <f t="shared" si="1"/>
        <v>CC1=CC(=C(C=C1)C(C)C)O CC1=C(C(=CC=C1)C)O</v>
      </c>
      <c r="K40">
        <v>17</v>
      </c>
      <c r="M40">
        <f t="shared" si="2"/>
        <v>5.4037971934950142E-2</v>
      </c>
      <c r="N40">
        <f t="shared" si="3"/>
        <v>0.87170963638795473</v>
      </c>
    </row>
    <row r="41" spans="1:14" x14ac:dyDescent="0.35">
      <c r="A41">
        <v>39</v>
      </c>
      <c r="B41" t="s">
        <v>33</v>
      </c>
      <c r="C41" t="s">
        <v>38</v>
      </c>
      <c r="D41">
        <v>0.5</v>
      </c>
      <c r="E41">
        <v>0.5</v>
      </c>
      <c r="F41">
        <v>313.14999999999998</v>
      </c>
      <c r="G41">
        <v>1650</v>
      </c>
      <c r="H41">
        <f t="shared" si="0"/>
        <v>-1.9826778732475279</v>
      </c>
      <c r="I41">
        <v>0.13769999999999999</v>
      </c>
      <c r="J41" t="str">
        <f t="shared" si="1"/>
        <v>CC1=CC(=C(C=C1)C(C)C)O CC1=C(C(=CC=C1)C)O</v>
      </c>
      <c r="K41">
        <v>17</v>
      </c>
      <c r="M41">
        <f t="shared" si="2"/>
        <v>5.4037971934950142E-2</v>
      </c>
      <c r="N41">
        <f t="shared" si="3"/>
        <v>0.30146215005906968</v>
      </c>
    </row>
    <row r="42" spans="1:14" x14ac:dyDescent="0.35">
      <c r="A42">
        <v>40</v>
      </c>
      <c r="B42" t="s">
        <v>33</v>
      </c>
      <c r="C42" t="s">
        <v>38</v>
      </c>
      <c r="D42">
        <v>0.5</v>
      </c>
      <c r="E42">
        <v>0.5</v>
      </c>
      <c r="F42">
        <v>323.14999999999998</v>
      </c>
      <c r="G42">
        <v>4085.3</v>
      </c>
      <c r="H42">
        <f t="shared" si="0"/>
        <v>-1.2454894845288695</v>
      </c>
      <c r="I42">
        <v>0.2878</v>
      </c>
      <c r="J42" t="str">
        <f t="shared" si="1"/>
        <v>CC1=CC(=C(C=C1)C(C)C)O CC1=C(C(=CC=C1)C)O</v>
      </c>
      <c r="K42">
        <v>17</v>
      </c>
      <c r="M42">
        <f t="shared" si="2"/>
        <v>0.83775464848239545</v>
      </c>
      <c r="N42">
        <f t="shared" si="3"/>
        <v>1.6634901055874476</v>
      </c>
    </row>
    <row r="43" spans="1:14" x14ac:dyDescent="0.35">
      <c r="A43">
        <v>41</v>
      </c>
      <c r="B43" t="s">
        <v>33</v>
      </c>
      <c r="C43" t="s">
        <v>38</v>
      </c>
      <c r="D43">
        <v>0.5</v>
      </c>
      <c r="E43">
        <v>0.5</v>
      </c>
      <c r="F43">
        <v>323.14999999999998</v>
      </c>
      <c r="G43">
        <v>3338</v>
      </c>
      <c r="H43">
        <f t="shared" si="0"/>
        <v>-1.4044583317475619</v>
      </c>
      <c r="I43">
        <v>0.2455</v>
      </c>
      <c r="J43" t="str">
        <f t="shared" si="1"/>
        <v>CC1=CC(=C(C=C1)C(C)C)O CC1=C(C(=CC=C1)C)O</v>
      </c>
      <c r="K43">
        <v>17</v>
      </c>
      <c r="M43">
        <f t="shared" si="2"/>
        <v>0.83775464848239545</v>
      </c>
      <c r="N43">
        <f t="shared" si="3"/>
        <v>1.2455360583791542</v>
      </c>
    </row>
    <row r="44" spans="1:14" x14ac:dyDescent="0.35">
      <c r="A44">
        <v>42</v>
      </c>
      <c r="B44" t="s">
        <v>33</v>
      </c>
      <c r="C44" t="s">
        <v>38</v>
      </c>
      <c r="D44">
        <v>0.5</v>
      </c>
      <c r="E44">
        <v>0.5</v>
      </c>
      <c r="F44">
        <v>323.14999999999998</v>
      </c>
      <c r="G44">
        <v>2698.8</v>
      </c>
      <c r="H44">
        <f t="shared" si="0"/>
        <v>-1.6094379124341003</v>
      </c>
      <c r="I44">
        <v>0.2</v>
      </c>
      <c r="J44" t="str">
        <f t="shared" si="1"/>
        <v>CC1=CC(=C(C=C1)C(C)C)O CC1=C(C(=CC=C1)C)O</v>
      </c>
      <c r="K44">
        <v>17</v>
      </c>
      <c r="M44">
        <f t="shared" si="2"/>
        <v>0.83775464848239545</v>
      </c>
      <c r="N44">
        <f t="shared" si="3"/>
        <v>0.88804077271671467</v>
      </c>
    </row>
    <row r="45" spans="1:14" x14ac:dyDescent="0.35">
      <c r="A45">
        <v>43</v>
      </c>
      <c r="B45" t="s">
        <v>33</v>
      </c>
      <c r="C45" t="s">
        <v>38</v>
      </c>
      <c r="D45">
        <v>0.5</v>
      </c>
      <c r="E45">
        <v>0.5</v>
      </c>
      <c r="F45">
        <v>323.14999999999998</v>
      </c>
      <c r="G45">
        <v>1667</v>
      </c>
      <c r="H45">
        <f t="shared" si="0"/>
        <v>-2.0690952496256916</v>
      </c>
      <c r="I45">
        <v>0.1263</v>
      </c>
      <c r="J45" t="str">
        <f t="shared" si="1"/>
        <v>CC1=CC(=C(C=C1)C(C)C)O CC1=C(C(=CC=C1)C)O</v>
      </c>
      <c r="K45">
        <v>17</v>
      </c>
      <c r="M45">
        <f t="shared" si="2"/>
        <v>0.83775464848239545</v>
      </c>
      <c r="N45">
        <f t="shared" si="3"/>
        <v>0.31097000340115583</v>
      </c>
    </row>
    <row r="46" spans="1:14" x14ac:dyDescent="0.35">
      <c r="A46">
        <v>44</v>
      </c>
      <c r="B46" t="s">
        <v>85</v>
      </c>
      <c r="C46" t="s">
        <v>86</v>
      </c>
      <c r="D46">
        <v>0.4</v>
      </c>
      <c r="E46">
        <v>0.6</v>
      </c>
      <c r="F46">
        <v>313.14999999999998</v>
      </c>
      <c r="G46">
        <v>1070</v>
      </c>
      <c r="H46">
        <f t="shared" si="0"/>
        <v>-2.98</v>
      </c>
      <c r="I46">
        <v>5.0792833864898503E-2</v>
      </c>
      <c r="J46" t="str">
        <f t="shared" si="1"/>
        <v>C[N+](C)(C)CCO.[Cl-]C(=O)(N)N</v>
      </c>
      <c r="K46">
        <v>75</v>
      </c>
      <c r="M46">
        <f t="shared" si="2"/>
        <v>5.4037971934950142E-2</v>
      </c>
      <c r="N46">
        <f t="shared" si="3"/>
        <v>-2.2923434553281653E-2</v>
      </c>
    </row>
    <row r="47" spans="1:14" x14ac:dyDescent="0.35">
      <c r="A47">
        <v>45</v>
      </c>
      <c r="B47" t="s">
        <v>7</v>
      </c>
      <c r="C47" t="s">
        <v>61</v>
      </c>
      <c r="D47">
        <v>0.4</v>
      </c>
      <c r="E47">
        <v>0.6</v>
      </c>
      <c r="F47">
        <v>313.14999999999998</v>
      </c>
      <c r="G47">
        <v>2520</v>
      </c>
      <c r="H47">
        <f t="shared" si="0"/>
        <v>-2.34</v>
      </c>
      <c r="I47">
        <v>9.6327638230493035E-2</v>
      </c>
      <c r="J47" t="str">
        <f t="shared" si="1"/>
        <v>C[N+](C)(C)CCO.[Cl-]C(=O)(N)N</v>
      </c>
      <c r="K47">
        <v>75</v>
      </c>
      <c r="M47">
        <f t="shared" si="2"/>
        <v>5.4037971934950142E-2</v>
      </c>
      <c r="N47">
        <f t="shared" si="3"/>
        <v>0.78804052697759663</v>
      </c>
    </row>
    <row r="48" spans="1:14" x14ac:dyDescent="0.35">
      <c r="A48">
        <v>46</v>
      </c>
      <c r="B48" t="s">
        <v>7</v>
      </c>
      <c r="C48" t="s">
        <v>61</v>
      </c>
      <c r="D48">
        <v>0.4</v>
      </c>
      <c r="E48">
        <v>0.6</v>
      </c>
      <c r="F48">
        <v>313.14999999999998</v>
      </c>
      <c r="G48">
        <v>4210</v>
      </c>
      <c r="H48">
        <f t="shared" si="0"/>
        <v>-2.1</v>
      </c>
      <c r="I48">
        <v>0.12245642825298191</v>
      </c>
      <c r="J48" t="str">
        <f t="shared" si="1"/>
        <v>C[N+](C)(C)CCO.[Cl-]C(=O)(N)N</v>
      </c>
      <c r="K48">
        <v>75</v>
      </c>
      <c r="M48">
        <f t="shared" si="2"/>
        <v>5.4037971934950142E-2</v>
      </c>
      <c r="N48">
        <f t="shared" si="3"/>
        <v>1.733233006279103</v>
      </c>
    </row>
    <row r="49" spans="1:14" x14ac:dyDescent="0.35">
      <c r="A49">
        <v>47</v>
      </c>
      <c r="B49" t="s">
        <v>7</v>
      </c>
      <c r="C49" t="s">
        <v>61</v>
      </c>
      <c r="D49">
        <v>0.4</v>
      </c>
      <c r="E49">
        <v>0.6</v>
      </c>
      <c r="F49">
        <v>313.14999999999998</v>
      </c>
      <c r="G49">
        <v>6090</v>
      </c>
      <c r="H49">
        <f t="shared" si="0"/>
        <v>-1.84</v>
      </c>
      <c r="I49">
        <v>0.15881742610692068</v>
      </c>
      <c r="J49" t="str">
        <f t="shared" si="1"/>
        <v>C[N+](C)(C)CCO.[Cl-]C(=O)(N)N</v>
      </c>
      <c r="K49">
        <v>75</v>
      </c>
      <c r="M49">
        <f t="shared" si="2"/>
        <v>5.4037971934950142E-2</v>
      </c>
      <c r="N49">
        <f t="shared" si="3"/>
        <v>2.7846897288156898</v>
      </c>
    </row>
    <row r="50" spans="1:14" x14ac:dyDescent="0.35">
      <c r="A50">
        <v>48</v>
      </c>
      <c r="B50" t="s">
        <v>7</v>
      </c>
      <c r="C50" t="s">
        <v>61</v>
      </c>
      <c r="D50">
        <v>0.4</v>
      </c>
      <c r="E50">
        <v>0.6</v>
      </c>
      <c r="F50">
        <v>313.14999999999998</v>
      </c>
      <c r="G50">
        <v>8210</v>
      </c>
      <c r="H50">
        <f t="shared" si="0"/>
        <v>-1.725971728690052</v>
      </c>
      <c r="I50">
        <v>0.17799999999999999</v>
      </c>
      <c r="J50" t="str">
        <f t="shared" si="1"/>
        <v>C[N+](C)(C)CCO.[Cl-]C(=O)(N)N</v>
      </c>
      <c r="K50">
        <v>75</v>
      </c>
      <c r="M50">
        <f t="shared" si="2"/>
        <v>5.4037971934950142E-2</v>
      </c>
      <c r="N50">
        <f t="shared" si="3"/>
        <v>3.9703749691229051</v>
      </c>
    </row>
    <row r="51" spans="1:14" x14ac:dyDescent="0.35">
      <c r="A51">
        <v>49</v>
      </c>
      <c r="B51" t="s">
        <v>7</v>
      </c>
      <c r="C51" t="s">
        <v>61</v>
      </c>
      <c r="D51">
        <v>0.4</v>
      </c>
      <c r="E51">
        <v>0.6</v>
      </c>
      <c r="F51">
        <v>313.14999999999998</v>
      </c>
      <c r="G51">
        <v>9859.996545</v>
      </c>
      <c r="H51">
        <f t="shared" si="0"/>
        <v>-1.6347557204183902</v>
      </c>
      <c r="I51">
        <v>0.19500000000000001</v>
      </c>
      <c r="J51" t="str">
        <f t="shared" si="1"/>
        <v>C[N+](C)(C)CCO.[Cl-]C(=O)(N)N</v>
      </c>
      <c r="K51">
        <v>75</v>
      </c>
      <c r="M51">
        <f t="shared" si="2"/>
        <v>5.4037971934950142E-2</v>
      </c>
      <c r="N51">
        <f t="shared" si="3"/>
        <v>4.8931940964646028</v>
      </c>
    </row>
    <row r="52" spans="1:14" x14ac:dyDescent="0.35">
      <c r="A52">
        <v>50</v>
      </c>
      <c r="B52" t="s">
        <v>7</v>
      </c>
      <c r="C52" t="s">
        <v>61</v>
      </c>
      <c r="D52">
        <v>0.4</v>
      </c>
      <c r="E52">
        <v>0.6</v>
      </c>
      <c r="F52">
        <v>313.14999999999998</v>
      </c>
      <c r="G52">
        <v>11839.998502500001</v>
      </c>
      <c r="H52">
        <f t="shared" si="0"/>
        <v>-1.6044503709230613</v>
      </c>
      <c r="I52">
        <v>0.20100000000000001</v>
      </c>
      <c r="J52" t="str">
        <f t="shared" si="1"/>
        <v>C[N+](C)(C)CCO.[Cl-]C(=O)(N)N</v>
      </c>
      <c r="K52">
        <v>75</v>
      </c>
      <c r="M52">
        <f t="shared" si="2"/>
        <v>5.4037971934950142E-2</v>
      </c>
      <c r="N52">
        <f t="shared" si="3"/>
        <v>6.0005804628736339</v>
      </c>
    </row>
    <row r="53" spans="1:14" x14ac:dyDescent="0.35">
      <c r="A53">
        <v>51</v>
      </c>
      <c r="B53" t="s">
        <v>7</v>
      </c>
      <c r="C53" t="s">
        <v>61</v>
      </c>
      <c r="D53">
        <v>0.4</v>
      </c>
      <c r="E53">
        <v>0.6</v>
      </c>
      <c r="F53">
        <v>323.14999999999998</v>
      </c>
      <c r="G53">
        <v>850</v>
      </c>
      <c r="H53">
        <f t="shared" si="0"/>
        <v>-3.41</v>
      </c>
      <c r="I53">
        <v>3.3041200375886932E-2</v>
      </c>
      <c r="J53" t="str">
        <f t="shared" si="1"/>
        <v>C[N+](C)(C)CCO.[Cl-]C(=O)(N)N</v>
      </c>
      <c r="K53">
        <v>75</v>
      </c>
      <c r="M53">
        <f t="shared" si="2"/>
        <v>0.83775464848239545</v>
      </c>
      <c r="N53">
        <f t="shared" si="3"/>
        <v>-0.14596624250969076</v>
      </c>
    </row>
    <row r="54" spans="1:14" x14ac:dyDescent="0.35">
      <c r="A54">
        <v>52</v>
      </c>
      <c r="B54" t="s">
        <v>7</v>
      </c>
      <c r="C54" t="s">
        <v>61</v>
      </c>
      <c r="D54">
        <v>0.4</v>
      </c>
      <c r="E54">
        <v>0.6</v>
      </c>
      <c r="F54">
        <v>323.14999999999998</v>
      </c>
      <c r="G54">
        <v>2330</v>
      </c>
      <c r="H54">
        <f t="shared" si="0"/>
        <v>-2.54</v>
      </c>
      <c r="I54">
        <v>7.8866399790674946E-2</v>
      </c>
      <c r="J54" t="str">
        <f t="shared" si="1"/>
        <v>C[N+](C)(C)CCO.[Cl-]C(=O)(N)N</v>
      </c>
      <c r="K54">
        <v>75</v>
      </c>
      <c r="M54">
        <f t="shared" si="2"/>
        <v>0.83775464848239545</v>
      </c>
      <c r="N54">
        <f t="shared" si="3"/>
        <v>0.68177628374251598</v>
      </c>
    </row>
    <row r="55" spans="1:14" x14ac:dyDescent="0.35">
      <c r="A55">
        <v>53</v>
      </c>
      <c r="B55" t="s">
        <v>7</v>
      </c>
      <c r="C55" t="s">
        <v>86</v>
      </c>
      <c r="D55">
        <v>0.4</v>
      </c>
      <c r="E55">
        <v>0.6</v>
      </c>
      <c r="F55">
        <v>323.14999999999998</v>
      </c>
      <c r="G55">
        <v>3690</v>
      </c>
      <c r="H55">
        <f t="shared" si="0"/>
        <v>-2.33</v>
      </c>
      <c r="I55">
        <v>9.7295747089532758E-2</v>
      </c>
      <c r="J55" t="str">
        <f t="shared" si="1"/>
        <v>C[N+](C)(C)CCO.[Cl-]C(=O)(N)N</v>
      </c>
      <c r="K55">
        <v>75</v>
      </c>
      <c r="M55">
        <f t="shared" si="2"/>
        <v>0.83775464848239545</v>
      </c>
      <c r="N55">
        <f t="shared" si="3"/>
        <v>1.4424045511094088</v>
      </c>
    </row>
    <row r="56" spans="1:14" x14ac:dyDescent="0.35">
      <c r="A56">
        <v>54</v>
      </c>
      <c r="B56" t="s">
        <v>7</v>
      </c>
      <c r="C56" t="s">
        <v>61</v>
      </c>
      <c r="D56">
        <v>0.4</v>
      </c>
      <c r="E56">
        <v>0.6</v>
      </c>
      <c r="F56">
        <v>323.14999999999998</v>
      </c>
      <c r="G56">
        <v>6130</v>
      </c>
      <c r="H56">
        <f t="shared" si="0"/>
        <v>-1.94</v>
      </c>
      <c r="I56">
        <v>0.14370394977770293</v>
      </c>
      <c r="J56" t="str">
        <f t="shared" si="1"/>
        <v>C[N+](C)(C)CCO.[Cl-]C(=O)(N)N</v>
      </c>
      <c r="K56">
        <v>75</v>
      </c>
      <c r="M56">
        <f t="shared" si="2"/>
        <v>0.83775464848239545</v>
      </c>
      <c r="N56">
        <f t="shared" si="3"/>
        <v>2.8070611484441281</v>
      </c>
    </row>
    <row r="57" spans="1:14" x14ac:dyDescent="0.35">
      <c r="A57">
        <v>55</v>
      </c>
      <c r="B57" t="s">
        <v>7</v>
      </c>
      <c r="C57" t="s">
        <v>61</v>
      </c>
      <c r="D57">
        <v>0.4</v>
      </c>
      <c r="E57">
        <v>0.6</v>
      </c>
      <c r="F57">
        <v>323.14999999999998</v>
      </c>
      <c r="G57">
        <v>8189.9984249999998</v>
      </c>
      <c r="H57">
        <f t="shared" si="0"/>
        <v>-1.8078888511579385</v>
      </c>
      <c r="I57">
        <v>0.16400000000000001</v>
      </c>
      <c r="J57" t="str">
        <f t="shared" si="1"/>
        <v>C[N+](C)(C)CCO.[Cl-]C(=O)(N)N</v>
      </c>
      <c r="K57">
        <v>75</v>
      </c>
      <c r="M57">
        <f t="shared" si="2"/>
        <v>0.83775464848239545</v>
      </c>
      <c r="N57">
        <f t="shared" si="3"/>
        <v>3.959188378434038</v>
      </c>
    </row>
    <row r="58" spans="1:14" x14ac:dyDescent="0.35">
      <c r="A58">
        <v>56</v>
      </c>
      <c r="B58" t="s">
        <v>7</v>
      </c>
      <c r="C58" t="s">
        <v>61</v>
      </c>
      <c r="D58">
        <v>0.4</v>
      </c>
      <c r="E58">
        <v>0.6</v>
      </c>
      <c r="F58">
        <v>323.14999999999998</v>
      </c>
      <c r="G58">
        <v>10549.999529999999</v>
      </c>
      <c r="H58">
        <f t="shared" si="0"/>
        <v>-1.6982691261407161</v>
      </c>
      <c r="I58">
        <v>0.183</v>
      </c>
      <c r="J58" t="str">
        <f t="shared" si="1"/>
        <v>C[N+](C)(C)CCO.[Cl-]C(=O)(N)N</v>
      </c>
      <c r="K58">
        <v>75</v>
      </c>
      <c r="M58">
        <f t="shared" si="2"/>
        <v>0.83775464848239545</v>
      </c>
      <c r="N58">
        <f t="shared" si="3"/>
        <v>5.2791027545223486</v>
      </c>
    </row>
    <row r="59" spans="1:14" x14ac:dyDescent="0.35">
      <c r="A59">
        <v>57</v>
      </c>
      <c r="B59" t="s">
        <v>7</v>
      </c>
      <c r="C59" t="s">
        <v>61</v>
      </c>
      <c r="D59">
        <v>0.4</v>
      </c>
      <c r="E59">
        <v>0.6</v>
      </c>
      <c r="F59">
        <v>323.14999999999998</v>
      </c>
      <c r="G59">
        <v>12520.00071</v>
      </c>
      <c r="H59">
        <f t="shared" si="0"/>
        <v>-1.6554818509355071</v>
      </c>
      <c r="I59">
        <v>0.191</v>
      </c>
      <c r="J59" t="str">
        <f t="shared" si="1"/>
        <v>C[N+](C)(C)CCO.[Cl-]C(=O)(N)N</v>
      </c>
      <c r="K59">
        <v>75</v>
      </c>
      <c r="M59">
        <f t="shared" si="2"/>
        <v>0.83775464848239545</v>
      </c>
      <c r="N59">
        <f t="shared" si="3"/>
        <v>6.3808958311798003</v>
      </c>
    </row>
    <row r="60" spans="1:14" x14ac:dyDescent="0.35">
      <c r="A60">
        <v>58</v>
      </c>
      <c r="B60" t="s">
        <v>7</v>
      </c>
      <c r="C60" t="s">
        <v>61</v>
      </c>
      <c r="D60">
        <v>0.4</v>
      </c>
      <c r="E60">
        <v>0.6</v>
      </c>
      <c r="F60">
        <v>333.15</v>
      </c>
      <c r="G60">
        <v>1230</v>
      </c>
      <c r="H60">
        <f t="shared" si="0"/>
        <v>-3.27</v>
      </c>
      <c r="I60">
        <v>3.8006427075174314E-2</v>
      </c>
      <c r="J60" t="str">
        <f t="shared" si="1"/>
        <v>C[N+](C)(C)CCO.[Cl-]C(=O)(N)N</v>
      </c>
      <c r="K60">
        <v>75</v>
      </c>
      <c r="M60">
        <f t="shared" si="2"/>
        <v>1.6214713250298407</v>
      </c>
      <c r="N60">
        <f t="shared" si="3"/>
        <v>6.6562243960470432E-2</v>
      </c>
    </row>
    <row r="61" spans="1:14" x14ac:dyDescent="0.35">
      <c r="A61">
        <v>59</v>
      </c>
      <c r="B61" t="s">
        <v>7</v>
      </c>
      <c r="C61" t="s">
        <v>61</v>
      </c>
      <c r="D61">
        <v>0.4</v>
      </c>
      <c r="E61">
        <v>0.6</v>
      </c>
      <c r="F61">
        <v>333.15</v>
      </c>
      <c r="G61">
        <v>2590</v>
      </c>
      <c r="H61">
        <f t="shared" si="0"/>
        <v>-2.67</v>
      </c>
      <c r="I61">
        <v>6.9252225309345994E-2</v>
      </c>
      <c r="J61" t="str">
        <f t="shared" si="1"/>
        <v>C[N+](C)(C)CCO.[Cl-]C(=O)(N)N</v>
      </c>
      <c r="K61">
        <v>75</v>
      </c>
      <c r="M61">
        <f t="shared" si="2"/>
        <v>1.6214713250298407</v>
      </c>
      <c r="N61">
        <f t="shared" si="3"/>
        <v>0.8271905113273631</v>
      </c>
    </row>
    <row r="62" spans="1:14" x14ac:dyDescent="0.35">
      <c r="A62">
        <v>60</v>
      </c>
      <c r="B62" t="s">
        <v>7</v>
      </c>
      <c r="C62" t="s">
        <v>61</v>
      </c>
      <c r="D62">
        <v>0.4</v>
      </c>
      <c r="E62">
        <v>0.6</v>
      </c>
      <c r="F62">
        <v>333.15</v>
      </c>
      <c r="G62">
        <v>4780</v>
      </c>
      <c r="H62">
        <f t="shared" si="0"/>
        <v>-2.3199999999999998</v>
      </c>
      <c r="I62">
        <v>9.8273585604361544E-2</v>
      </c>
      <c r="J62" t="str">
        <f t="shared" si="1"/>
        <v>C[N+](C)(C)CCO.[Cl-]C(=O)(N)N</v>
      </c>
      <c r="K62">
        <v>75</v>
      </c>
      <c r="M62">
        <f t="shared" si="2"/>
        <v>1.6214713250298407</v>
      </c>
      <c r="N62">
        <f t="shared" si="3"/>
        <v>2.052025735984345</v>
      </c>
    </row>
    <row r="63" spans="1:14" x14ac:dyDescent="0.35">
      <c r="A63">
        <v>61</v>
      </c>
      <c r="B63" t="s">
        <v>7</v>
      </c>
      <c r="C63" t="s">
        <v>61</v>
      </c>
      <c r="D63">
        <v>0.4</v>
      </c>
      <c r="E63">
        <v>0.6</v>
      </c>
      <c r="F63">
        <v>333.15</v>
      </c>
      <c r="G63">
        <v>6550</v>
      </c>
      <c r="H63">
        <f t="shared" si="0"/>
        <v>-2.1</v>
      </c>
      <c r="I63">
        <v>0.12245642825298191</v>
      </c>
      <c r="J63" t="str">
        <f t="shared" si="1"/>
        <v>C[N+](C)(C)CCO.[Cl-]C(=O)(N)N</v>
      </c>
      <c r="K63">
        <v>75</v>
      </c>
      <c r="M63">
        <f t="shared" si="2"/>
        <v>1.6214713250298407</v>
      </c>
      <c r="N63">
        <f t="shared" si="3"/>
        <v>3.0419610545427274</v>
      </c>
    </row>
    <row r="64" spans="1:14" x14ac:dyDescent="0.35">
      <c r="A64">
        <v>62</v>
      </c>
      <c r="B64" t="s">
        <v>7</v>
      </c>
      <c r="C64" t="s">
        <v>61</v>
      </c>
      <c r="D64">
        <v>0.4</v>
      </c>
      <c r="E64">
        <v>0.6</v>
      </c>
      <c r="F64">
        <v>333.15</v>
      </c>
      <c r="G64">
        <v>8380.0030650000008</v>
      </c>
      <c r="H64">
        <f t="shared" si="0"/>
        <v>-1.9449106487222299</v>
      </c>
      <c r="I64">
        <v>0.14299999999999999</v>
      </c>
      <c r="J64" t="str">
        <f t="shared" si="1"/>
        <v>C[N+](C)(C)CCO.[Cl-]C(=O)(N)N</v>
      </c>
      <c r="K64">
        <v>75</v>
      </c>
      <c r="M64">
        <f t="shared" si="2"/>
        <v>1.6214713250298407</v>
      </c>
      <c r="N64">
        <f t="shared" si="3"/>
        <v>4.0654552167537963</v>
      </c>
    </row>
    <row r="65" spans="1:14" x14ac:dyDescent="0.35">
      <c r="A65">
        <v>63</v>
      </c>
      <c r="B65" t="s">
        <v>7</v>
      </c>
      <c r="C65" t="s">
        <v>61</v>
      </c>
      <c r="D65">
        <v>0.4</v>
      </c>
      <c r="E65">
        <v>0.6</v>
      </c>
      <c r="F65">
        <v>333.15</v>
      </c>
      <c r="G65">
        <v>10519.997197500001</v>
      </c>
      <c r="H65">
        <f t="shared" si="0"/>
        <v>-1.8078888511579385</v>
      </c>
      <c r="I65">
        <v>0.16400000000000001</v>
      </c>
      <c r="J65" t="str">
        <f t="shared" si="1"/>
        <v>C[N+](C)(C)CCO.[Cl-]C(=O)(N)N</v>
      </c>
      <c r="K65">
        <v>75</v>
      </c>
      <c r="M65">
        <f t="shared" si="2"/>
        <v>1.6214713250298407</v>
      </c>
      <c r="N65">
        <f t="shared" si="3"/>
        <v>5.2623228852676132</v>
      </c>
    </row>
    <row r="66" spans="1:14" x14ac:dyDescent="0.35">
      <c r="A66">
        <v>64</v>
      </c>
      <c r="B66" t="s">
        <v>7</v>
      </c>
      <c r="C66" t="s">
        <v>61</v>
      </c>
      <c r="D66">
        <v>0.4</v>
      </c>
      <c r="E66">
        <v>0.6</v>
      </c>
      <c r="F66">
        <v>333.15</v>
      </c>
      <c r="G66">
        <v>12349.997625</v>
      </c>
      <c r="H66">
        <f t="shared" si="0"/>
        <v>-1.7778565640590636</v>
      </c>
      <c r="I66">
        <v>0.16900000000000001</v>
      </c>
      <c r="J66" t="str">
        <f t="shared" si="1"/>
        <v>C[N+](C)(C)CCO.[Cl-]C(=O)(N)N</v>
      </c>
      <c r="K66">
        <v>75</v>
      </c>
      <c r="M66">
        <f t="shared" si="2"/>
        <v>1.6214713250298407</v>
      </c>
      <c r="N66">
        <f t="shared" si="3"/>
        <v>6.2858155723631999</v>
      </c>
    </row>
    <row r="67" spans="1:14" x14ac:dyDescent="0.35">
      <c r="A67">
        <v>65</v>
      </c>
      <c r="B67" t="s">
        <v>7</v>
      </c>
      <c r="C67" t="s">
        <v>61</v>
      </c>
      <c r="D67">
        <v>0.4</v>
      </c>
      <c r="E67">
        <v>0.6</v>
      </c>
      <c r="F67">
        <v>333.15</v>
      </c>
      <c r="G67">
        <v>12499.999155</v>
      </c>
      <c r="H67">
        <f t="shared" ref="H67:H130" si="4">LN(I67)</f>
        <v>-1.7602608021686841</v>
      </c>
      <c r="I67">
        <v>0.17199999999999999</v>
      </c>
      <c r="J67" t="str">
        <f t="shared" ref="J67:J130" si="5">_xlfn.CONCAT(B67,C67)</f>
        <v>C[N+](C)(C)CCO.[Cl-]C(=O)(N)N</v>
      </c>
      <c r="K67">
        <v>75</v>
      </c>
      <c r="M67">
        <f t="shared" ref="M67:M130" si="6">(F67-$L$3)/$L$2</f>
        <v>1.6214713250298407</v>
      </c>
      <c r="N67">
        <f t="shared" ref="N67:N130" si="7">(G67-$L$6)/$L$5</f>
        <v>6.3697092516766434</v>
      </c>
    </row>
    <row r="68" spans="1:14" x14ac:dyDescent="0.35">
      <c r="A68">
        <v>66</v>
      </c>
      <c r="B68" t="s">
        <v>2</v>
      </c>
      <c r="C68" t="s">
        <v>68</v>
      </c>
      <c r="D68">
        <v>0.2</v>
      </c>
      <c r="E68">
        <v>0.8</v>
      </c>
      <c r="F68">
        <v>303.14999999999998</v>
      </c>
      <c r="G68">
        <v>30.2</v>
      </c>
      <c r="H68">
        <f t="shared" si="4"/>
        <v>-7.13</v>
      </c>
      <c r="I68">
        <v>8.007193874922814E-4</v>
      </c>
      <c r="J68" t="str">
        <f t="shared" si="5"/>
        <v>CC(=O)OCC[N+](C)(C)C.[Cl-]C1=CN=CN1</v>
      </c>
      <c r="K68">
        <v>11</v>
      </c>
      <c r="M68">
        <f t="shared" si="6"/>
        <v>-0.72967870461249518</v>
      </c>
      <c r="N68">
        <f t="shared" si="7"/>
        <v>-0.604468487794528</v>
      </c>
    </row>
    <row r="69" spans="1:14" x14ac:dyDescent="0.35">
      <c r="A69">
        <v>67</v>
      </c>
      <c r="B69" t="s">
        <v>2</v>
      </c>
      <c r="C69" t="s">
        <v>68</v>
      </c>
      <c r="D69">
        <v>0.2</v>
      </c>
      <c r="E69">
        <v>0.8</v>
      </c>
      <c r="F69">
        <v>303.14999999999998</v>
      </c>
      <c r="G69">
        <v>86.7</v>
      </c>
      <c r="H69">
        <f t="shared" si="4"/>
        <v>-5.47</v>
      </c>
      <c r="I69">
        <v>4.2112321579970352E-3</v>
      </c>
      <c r="J69" t="str">
        <f t="shared" si="5"/>
        <v>CC(=O)OCC[N+](C)(C)C.[Cl-]C1=CN=CN1</v>
      </c>
      <c r="K69">
        <v>11</v>
      </c>
      <c r="M69">
        <f t="shared" si="6"/>
        <v>-0.72967870461249518</v>
      </c>
      <c r="N69">
        <f t="shared" si="7"/>
        <v>-0.57286885756935924</v>
      </c>
    </row>
    <row r="70" spans="1:14" x14ac:dyDescent="0.35">
      <c r="A70">
        <v>68</v>
      </c>
      <c r="B70" t="s">
        <v>2</v>
      </c>
      <c r="C70" t="s">
        <v>68</v>
      </c>
      <c r="D70">
        <v>0.2</v>
      </c>
      <c r="E70">
        <v>0.8</v>
      </c>
      <c r="F70">
        <v>303.14999999999998</v>
      </c>
      <c r="G70">
        <v>198.4</v>
      </c>
      <c r="H70">
        <f t="shared" si="4"/>
        <v>-4.6500000000000004</v>
      </c>
      <c r="I70">
        <v>9.5616019305435045E-3</v>
      </c>
      <c r="J70" t="str">
        <f t="shared" si="5"/>
        <v>CC(=O)OCC[N+](C)(C)C.[Cl-]C1=CN=CN1</v>
      </c>
      <c r="K70">
        <v>11</v>
      </c>
      <c r="M70">
        <f t="shared" si="6"/>
        <v>-0.72967870461249518</v>
      </c>
      <c r="N70">
        <f t="shared" si="7"/>
        <v>-0.51039666825694618</v>
      </c>
    </row>
    <row r="71" spans="1:14" x14ac:dyDescent="0.35">
      <c r="A71">
        <v>69</v>
      </c>
      <c r="B71" t="s">
        <v>2</v>
      </c>
      <c r="C71" t="s">
        <v>68</v>
      </c>
      <c r="D71">
        <v>0.2</v>
      </c>
      <c r="E71">
        <v>0.8</v>
      </c>
      <c r="F71">
        <v>303.14999999999998</v>
      </c>
      <c r="G71">
        <v>300.3</v>
      </c>
      <c r="H71">
        <f t="shared" si="4"/>
        <v>-4.29</v>
      </c>
      <c r="I71">
        <v>1.3704925297364945E-2</v>
      </c>
      <c r="J71" t="str">
        <f t="shared" si="5"/>
        <v>CC(=O)OCC[N+](C)(C)C.[Cl-]C1=CN=CN1</v>
      </c>
      <c r="K71">
        <v>11</v>
      </c>
      <c r="M71">
        <f t="shared" si="6"/>
        <v>-0.72967870461249518</v>
      </c>
      <c r="N71">
        <f t="shared" si="7"/>
        <v>-0.45340547675350029</v>
      </c>
    </row>
    <row r="72" spans="1:14" x14ac:dyDescent="0.35">
      <c r="A72">
        <v>70</v>
      </c>
      <c r="B72" t="s">
        <v>2</v>
      </c>
      <c r="C72" t="s">
        <v>68</v>
      </c>
      <c r="D72">
        <v>0.2</v>
      </c>
      <c r="E72">
        <v>0.8</v>
      </c>
      <c r="F72">
        <v>303.14999999999998</v>
      </c>
      <c r="G72">
        <v>388.1</v>
      </c>
      <c r="H72">
        <f t="shared" si="4"/>
        <v>-4.05</v>
      </c>
      <c r="I72">
        <v>1.7422374639493515E-2</v>
      </c>
      <c r="J72" t="str">
        <f t="shared" si="5"/>
        <v>CC(=O)OCC[N+](C)(C)C.[Cl-]C1=CN=CN1</v>
      </c>
      <c r="K72">
        <v>11</v>
      </c>
      <c r="M72">
        <f t="shared" si="6"/>
        <v>-0.72967870461249518</v>
      </c>
      <c r="N72">
        <f t="shared" si="7"/>
        <v>-0.40430021066907879</v>
      </c>
    </row>
    <row r="73" spans="1:14" x14ac:dyDescent="0.35">
      <c r="A73">
        <v>71</v>
      </c>
      <c r="B73" t="s">
        <v>2</v>
      </c>
      <c r="C73" t="s">
        <v>68</v>
      </c>
      <c r="D73">
        <v>0.2</v>
      </c>
      <c r="E73">
        <v>0.8</v>
      </c>
      <c r="F73">
        <v>303.14999999999998</v>
      </c>
      <c r="G73">
        <v>486.8</v>
      </c>
      <c r="H73">
        <f t="shared" si="4"/>
        <v>-3.84</v>
      </c>
      <c r="I73">
        <v>2.1493601345089923E-2</v>
      </c>
      <c r="J73" t="str">
        <f t="shared" si="5"/>
        <v>CC(=O)OCC[N+](C)(C)C.[Cl-]C1=CN=CN1</v>
      </c>
      <c r="K73">
        <v>11</v>
      </c>
      <c r="M73">
        <f t="shared" si="6"/>
        <v>-0.72967870461249518</v>
      </c>
      <c r="N73">
        <f t="shared" si="7"/>
        <v>-0.34909873273590802</v>
      </c>
    </row>
    <row r="74" spans="1:14" x14ac:dyDescent="0.35">
      <c r="A74">
        <v>72</v>
      </c>
      <c r="B74" t="s">
        <v>2</v>
      </c>
      <c r="C74" t="s">
        <v>68</v>
      </c>
      <c r="D74">
        <v>0.2</v>
      </c>
      <c r="E74">
        <v>0.8</v>
      </c>
      <c r="F74">
        <v>303.14999999999998</v>
      </c>
      <c r="G74">
        <v>572.6</v>
      </c>
      <c r="H74">
        <f t="shared" si="4"/>
        <v>-3.68</v>
      </c>
      <c r="I74">
        <v>2.5222974835227212E-2</v>
      </c>
      <c r="J74" t="str">
        <f t="shared" si="5"/>
        <v>CC(=O)OCC[N+](C)(C)C.[Cl-]C1=CN=CN1</v>
      </c>
      <c r="K74">
        <v>11</v>
      </c>
      <c r="M74">
        <f t="shared" si="6"/>
        <v>-0.72967870461249518</v>
      </c>
      <c r="N74">
        <f t="shared" si="7"/>
        <v>-0.30111203763290845</v>
      </c>
    </row>
    <row r="75" spans="1:14" x14ac:dyDescent="0.35">
      <c r="A75">
        <v>73</v>
      </c>
      <c r="B75" t="s">
        <v>2</v>
      </c>
      <c r="C75" t="s">
        <v>68</v>
      </c>
      <c r="D75">
        <v>0.2</v>
      </c>
      <c r="E75">
        <v>0.8</v>
      </c>
      <c r="F75">
        <v>313.14999999999998</v>
      </c>
      <c r="G75">
        <v>65.209999999999994</v>
      </c>
      <c r="H75">
        <f t="shared" si="4"/>
        <v>-5.95</v>
      </c>
      <c r="I75">
        <v>2.6058405184084983E-3</v>
      </c>
      <c r="J75" t="str">
        <f t="shared" si="5"/>
        <v>CC(=O)OCC[N+](C)(C)C.[Cl-]C1=CN=CN1</v>
      </c>
      <c r="K75">
        <v>11</v>
      </c>
      <c r="M75">
        <f t="shared" si="6"/>
        <v>5.4037971934950142E-2</v>
      </c>
      <c r="N75">
        <f t="shared" si="7"/>
        <v>-0.58488790276473757</v>
      </c>
    </row>
    <row r="76" spans="1:14" x14ac:dyDescent="0.35">
      <c r="A76">
        <v>74</v>
      </c>
      <c r="B76" t="s">
        <v>2</v>
      </c>
      <c r="C76" t="s">
        <v>68</v>
      </c>
      <c r="D76">
        <v>0.2</v>
      </c>
      <c r="E76">
        <v>0.8</v>
      </c>
      <c r="F76">
        <v>313.14999999999998</v>
      </c>
      <c r="G76">
        <v>147.69999999999999</v>
      </c>
      <c r="H76">
        <f t="shared" si="4"/>
        <v>-5.26</v>
      </c>
      <c r="I76">
        <v>5.1953047187052312E-3</v>
      </c>
      <c r="J76" t="str">
        <f t="shared" si="5"/>
        <v>CC(=O)OCC[N+](C)(C)C.[Cl-]C1=CN=CN1</v>
      </c>
      <c r="K76">
        <v>11</v>
      </c>
      <c r="M76">
        <f t="shared" si="6"/>
        <v>5.4037971934950142E-2</v>
      </c>
      <c r="N76">
        <f t="shared" si="7"/>
        <v>-0.53875244263599131</v>
      </c>
    </row>
    <row r="77" spans="1:14" x14ac:dyDescent="0.35">
      <c r="A77">
        <v>75</v>
      </c>
      <c r="B77" t="s">
        <v>2</v>
      </c>
      <c r="C77" t="s">
        <v>68</v>
      </c>
      <c r="D77">
        <v>0.2</v>
      </c>
      <c r="E77">
        <v>0.8</v>
      </c>
      <c r="F77">
        <v>313.14999999999998</v>
      </c>
      <c r="G77">
        <v>201.4</v>
      </c>
      <c r="H77">
        <f t="shared" si="4"/>
        <v>-4.96</v>
      </c>
      <c r="I77">
        <v>7.0129278325854246E-3</v>
      </c>
      <c r="J77" t="str">
        <f t="shared" si="5"/>
        <v>CC(=O)OCC[N+](C)(C)C.[Cl-]C1=CN=CN1</v>
      </c>
      <c r="K77">
        <v>11</v>
      </c>
      <c r="M77">
        <f t="shared" si="6"/>
        <v>5.4037971934950142E-2</v>
      </c>
      <c r="N77">
        <f t="shared" si="7"/>
        <v>-0.50871881178481326</v>
      </c>
    </row>
    <row r="78" spans="1:14" x14ac:dyDescent="0.35">
      <c r="A78">
        <v>76</v>
      </c>
      <c r="B78" t="s">
        <v>2</v>
      </c>
      <c r="C78" t="s">
        <v>68</v>
      </c>
      <c r="D78">
        <v>0.2</v>
      </c>
      <c r="E78">
        <v>0.8</v>
      </c>
      <c r="F78">
        <v>313.14999999999998</v>
      </c>
      <c r="G78">
        <v>295.89999999999998</v>
      </c>
      <c r="H78">
        <f t="shared" si="4"/>
        <v>-4.58</v>
      </c>
      <c r="I78">
        <v>1.0254896296404022E-2</v>
      </c>
      <c r="J78" t="str">
        <f t="shared" si="5"/>
        <v>CC(=O)OCC[N+](C)(C)C.[Cl-]C1=CN=CN1</v>
      </c>
      <c r="K78">
        <v>11</v>
      </c>
      <c r="M78">
        <f t="shared" si="6"/>
        <v>5.4037971934950142E-2</v>
      </c>
      <c r="N78">
        <f t="shared" si="7"/>
        <v>-0.45586633291262846</v>
      </c>
    </row>
    <row r="79" spans="1:14" x14ac:dyDescent="0.35">
      <c r="A79">
        <v>77</v>
      </c>
      <c r="B79" t="s">
        <v>2</v>
      </c>
      <c r="C79" t="s">
        <v>68</v>
      </c>
      <c r="D79">
        <v>0.2</v>
      </c>
      <c r="E79">
        <v>0.8</v>
      </c>
      <c r="F79">
        <v>313.14999999999998</v>
      </c>
      <c r="G79">
        <v>427.6</v>
      </c>
      <c r="H79">
        <f t="shared" si="4"/>
        <v>-4.1733877695625532</v>
      </c>
      <c r="I79">
        <v>1.54E-2</v>
      </c>
      <c r="J79" t="str">
        <f t="shared" si="5"/>
        <v>CC(=O)OCC[N+](C)(C)C.[Cl-]C1=CN=CN1</v>
      </c>
      <c r="K79">
        <v>11</v>
      </c>
      <c r="M79">
        <f t="shared" si="6"/>
        <v>5.4037971934950142E-2</v>
      </c>
      <c r="N79">
        <f t="shared" si="7"/>
        <v>-0.38220843378599628</v>
      </c>
    </row>
    <row r="80" spans="1:14" x14ac:dyDescent="0.35">
      <c r="A80">
        <v>78</v>
      </c>
      <c r="B80" t="s">
        <v>2</v>
      </c>
      <c r="C80" t="s">
        <v>68</v>
      </c>
      <c r="D80">
        <v>0.2</v>
      </c>
      <c r="E80">
        <v>0.8</v>
      </c>
      <c r="F80">
        <v>313.14999999999998</v>
      </c>
      <c r="G80">
        <v>547.6</v>
      </c>
      <c r="H80">
        <f t="shared" si="4"/>
        <v>-3.907035463917107</v>
      </c>
      <c r="I80">
        <v>2.01E-2</v>
      </c>
      <c r="J80" t="str">
        <f t="shared" si="5"/>
        <v>CC(=O)OCC[N+](C)(C)C.[Cl-]C1=CN=CN1</v>
      </c>
      <c r="K80">
        <v>11</v>
      </c>
      <c r="M80">
        <f t="shared" si="6"/>
        <v>5.4037971934950142E-2</v>
      </c>
      <c r="N80">
        <f t="shared" si="7"/>
        <v>-0.3150941749006822</v>
      </c>
    </row>
    <row r="81" spans="1:14" x14ac:dyDescent="0.35">
      <c r="A81">
        <v>79</v>
      </c>
      <c r="B81" t="s">
        <v>2</v>
      </c>
      <c r="C81" t="s">
        <v>68</v>
      </c>
      <c r="D81">
        <v>0.2</v>
      </c>
      <c r="E81">
        <v>0.8</v>
      </c>
      <c r="F81">
        <v>323.14999999999998</v>
      </c>
      <c r="G81">
        <v>29.8</v>
      </c>
      <c r="H81">
        <f t="shared" si="4"/>
        <v>-6.5</v>
      </c>
      <c r="I81">
        <v>1.5034391929775724E-3</v>
      </c>
      <c r="J81" t="str">
        <f t="shared" si="5"/>
        <v>CC(=O)OCC[N+](C)(C)C.[Cl-]C1=CN=CN1</v>
      </c>
      <c r="K81">
        <v>11</v>
      </c>
      <c r="M81">
        <f t="shared" si="6"/>
        <v>0.83775464848239545</v>
      </c>
      <c r="N81">
        <f t="shared" si="7"/>
        <v>-0.60469220199081242</v>
      </c>
    </row>
    <row r="82" spans="1:14" x14ac:dyDescent="0.35">
      <c r="A82">
        <v>80</v>
      </c>
      <c r="B82" t="s">
        <v>2</v>
      </c>
      <c r="C82" t="s">
        <v>68</v>
      </c>
      <c r="D82">
        <v>0.2</v>
      </c>
      <c r="E82">
        <v>0.8</v>
      </c>
      <c r="F82">
        <v>323.14999999999998</v>
      </c>
      <c r="G82">
        <v>111</v>
      </c>
      <c r="H82">
        <f t="shared" si="4"/>
        <v>-5.52</v>
      </c>
      <c r="I82">
        <v>4.0058479420904203E-3</v>
      </c>
      <c r="J82" t="str">
        <f t="shared" si="5"/>
        <v>CC(=O)OCC[N+](C)(C)C.[Cl-]C1=CN=CN1</v>
      </c>
      <c r="K82">
        <v>11</v>
      </c>
      <c r="M82">
        <f t="shared" si="6"/>
        <v>0.83775464848239545</v>
      </c>
      <c r="N82">
        <f t="shared" si="7"/>
        <v>-0.55927822014508322</v>
      </c>
    </row>
    <row r="83" spans="1:14" x14ac:dyDescent="0.35">
      <c r="A83">
        <v>81</v>
      </c>
      <c r="B83" t="s">
        <v>2</v>
      </c>
      <c r="C83" t="s">
        <v>68</v>
      </c>
      <c r="D83">
        <v>0.2</v>
      </c>
      <c r="E83">
        <v>0.8</v>
      </c>
      <c r="F83">
        <v>323.14999999999998</v>
      </c>
      <c r="G83">
        <v>148.6</v>
      </c>
      <c r="H83">
        <f t="shared" si="4"/>
        <v>-5.32</v>
      </c>
      <c r="I83">
        <v>4.8927537252394758E-3</v>
      </c>
      <c r="J83" t="str">
        <f t="shared" si="5"/>
        <v>CC(=O)OCC[N+](C)(C)C.[Cl-]C1=CN=CN1</v>
      </c>
      <c r="K83">
        <v>11</v>
      </c>
      <c r="M83">
        <f t="shared" si="6"/>
        <v>0.83775464848239545</v>
      </c>
      <c r="N83">
        <f t="shared" si="7"/>
        <v>-0.53824908569435148</v>
      </c>
    </row>
    <row r="84" spans="1:14" x14ac:dyDescent="0.35">
      <c r="A84">
        <v>82</v>
      </c>
      <c r="B84" t="s">
        <v>2</v>
      </c>
      <c r="C84" t="s">
        <v>68</v>
      </c>
      <c r="D84">
        <v>0.2</v>
      </c>
      <c r="E84">
        <v>0.8</v>
      </c>
      <c r="F84">
        <v>323.14999999999998</v>
      </c>
      <c r="G84">
        <v>238.5</v>
      </c>
      <c r="H84">
        <f t="shared" si="4"/>
        <v>-4.8899999999999997</v>
      </c>
      <c r="I84">
        <v>7.5214224749932702E-3</v>
      </c>
      <c r="J84" t="str">
        <f t="shared" si="5"/>
        <v>CC(=O)OCC[N+](C)(C)C.[Cl-]C1=CN=CN1</v>
      </c>
      <c r="K84">
        <v>11</v>
      </c>
      <c r="M84">
        <f t="shared" si="6"/>
        <v>0.83775464848239545</v>
      </c>
      <c r="N84">
        <f t="shared" si="7"/>
        <v>-0.487969320079437</v>
      </c>
    </row>
    <row r="85" spans="1:14" x14ac:dyDescent="0.35">
      <c r="A85">
        <v>83</v>
      </c>
      <c r="B85" t="s">
        <v>2</v>
      </c>
      <c r="C85" t="s">
        <v>68</v>
      </c>
      <c r="D85">
        <v>0.2</v>
      </c>
      <c r="E85">
        <v>0.8</v>
      </c>
      <c r="F85">
        <v>323.14999999999998</v>
      </c>
      <c r="G85">
        <v>329.1</v>
      </c>
      <c r="H85">
        <f t="shared" si="4"/>
        <v>-4.5999999999999996</v>
      </c>
      <c r="I85">
        <v>1.0051835744633586E-2</v>
      </c>
      <c r="J85" t="str">
        <f t="shared" si="5"/>
        <v>CC(=O)OCC[N+](C)(C)C.[Cl-]C1=CN=CN1</v>
      </c>
      <c r="K85">
        <v>11</v>
      </c>
      <c r="M85">
        <f t="shared" si="6"/>
        <v>0.83775464848239545</v>
      </c>
      <c r="N85">
        <f t="shared" si="7"/>
        <v>-0.43729805462102489</v>
      </c>
    </row>
    <row r="86" spans="1:14" x14ac:dyDescent="0.35">
      <c r="A86">
        <v>84</v>
      </c>
      <c r="B86" t="s">
        <v>2</v>
      </c>
      <c r="C86" t="s">
        <v>68</v>
      </c>
      <c r="D86">
        <v>0.2</v>
      </c>
      <c r="E86">
        <v>0.8</v>
      </c>
      <c r="F86">
        <v>323.14999999999998</v>
      </c>
      <c r="G86">
        <v>425.7</v>
      </c>
      <c r="H86">
        <f t="shared" si="4"/>
        <v>-4.34</v>
      </c>
      <c r="I86">
        <v>1.3036528203437736E-2</v>
      </c>
      <c r="J86" t="str">
        <f t="shared" si="5"/>
        <v>CC(=O)OCC[N+](C)(C)C.[Cl-]C1=CN=CN1</v>
      </c>
      <c r="K86">
        <v>11</v>
      </c>
      <c r="M86">
        <f t="shared" si="6"/>
        <v>0.83775464848239545</v>
      </c>
      <c r="N86">
        <f t="shared" si="7"/>
        <v>-0.38327107621834705</v>
      </c>
    </row>
    <row r="87" spans="1:14" x14ac:dyDescent="0.35">
      <c r="A87">
        <v>85</v>
      </c>
      <c r="B87" t="s">
        <v>2</v>
      </c>
      <c r="C87" t="s">
        <v>68</v>
      </c>
      <c r="D87">
        <v>0.2</v>
      </c>
      <c r="E87">
        <v>0.8</v>
      </c>
      <c r="F87">
        <v>323.14999999999998</v>
      </c>
      <c r="G87">
        <v>529.79999999999995</v>
      </c>
      <c r="H87">
        <f t="shared" si="4"/>
        <v>-4.1351665567423561</v>
      </c>
      <c r="I87">
        <v>1.6E-2</v>
      </c>
      <c r="J87" t="str">
        <f t="shared" si="5"/>
        <v>CC(=O)OCC[N+](C)(C)C.[Cl-]C1=CN=CN1</v>
      </c>
      <c r="K87">
        <v>11</v>
      </c>
      <c r="M87">
        <f t="shared" si="6"/>
        <v>0.83775464848239545</v>
      </c>
      <c r="N87">
        <f t="shared" si="7"/>
        <v>-0.32504945663533713</v>
      </c>
    </row>
    <row r="88" spans="1:14" x14ac:dyDescent="0.35">
      <c r="A88">
        <v>86</v>
      </c>
      <c r="B88" t="s">
        <v>2</v>
      </c>
      <c r="C88" t="s">
        <v>68</v>
      </c>
      <c r="D88">
        <v>0.2</v>
      </c>
      <c r="E88">
        <v>0.8</v>
      </c>
      <c r="F88">
        <v>323.14999999999998</v>
      </c>
      <c r="G88">
        <v>589.20000000000005</v>
      </c>
      <c r="H88">
        <f t="shared" si="4"/>
        <v>-4.0341906394023539</v>
      </c>
      <c r="I88">
        <v>1.77E-2</v>
      </c>
      <c r="J88" t="str">
        <f t="shared" si="5"/>
        <v>CC(=O)OCC[N+](C)(C)C.[Cl-]C1=CN=CN1</v>
      </c>
      <c r="K88">
        <v>11</v>
      </c>
      <c r="M88">
        <f t="shared" si="6"/>
        <v>0.83775464848239545</v>
      </c>
      <c r="N88">
        <f t="shared" si="7"/>
        <v>-0.29182789848710666</v>
      </c>
    </row>
    <row r="89" spans="1:14" x14ac:dyDescent="0.35">
      <c r="A89">
        <v>87</v>
      </c>
      <c r="B89" t="s">
        <v>2</v>
      </c>
      <c r="C89" t="s">
        <v>68</v>
      </c>
      <c r="D89">
        <v>0.2</v>
      </c>
      <c r="E89">
        <v>0.8</v>
      </c>
      <c r="F89">
        <v>333.15</v>
      </c>
      <c r="G89">
        <v>33</v>
      </c>
      <c r="H89">
        <f t="shared" si="4"/>
        <v>-6.81</v>
      </c>
      <c r="I89">
        <v>1.1026928999577027E-3</v>
      </c>
      <c r="J89" t="str">
        <f t="shared" si="5"/>
        <v>CC(=O)OCC[N+](C)(C)C.[Cl-]C1=CN=CN1</v>
      </c>
      <c r="K89">
        <v>11</v>
      </c>
      <c r="M89">
        <f t="shared" si="6"/>
        <v>1.6214713250298407</v>
      </c>
      <c r="N89">
        <f t="shared" si="7"/>
        <v>-0.6029024884205374</v>
      </c>
    </row>
    <row r="90" spans="1:14" x14ac:dyDescent="0.35">
      <c r="A90">
        <v>88</v>
      </c>
      <c r="B90" t="s">
        <v>2</v>
      </c>
      <c r="C90" t="s">
        <v>68</v>
      </c>
      <c r="D90">
        <v>0.2</v>
      </c>
      <c r="E90">
        <v>0.8</v>
      </c>
      <c r="F90">
        <v>333.15</v>
      </c>
      <c r="G90">
        <v>92.3</v>
      </c>
      <c r="H90">
        <f t="shared" si="4"/>
        <v>-5.99</v>
      </c>
      <c r="I90">
        <v>2.5036640502020999E-3</v>
      </c>
      <c r="J90" t="str">
        <f t="shared" si="5"/>
        <v>CC(=O)OCC[N+](C)(C)C.[Cl-]C1=CN=CN1</v>
      </c>
      <c r="K90">
        <v>11</v>
      </c>
      <c r="M90">
        <f t="shared" si="6"/>
        <v>1.6214713250298407</v>
      </c>
      <c r="N90">
        <f t="shared" si="7"/>
        <v>-0.56973685882137803</v>
      </c>
    </row>
    <row r="91" spans="1:14" x14ac:dyDescent="0.35">
      <c r="A91">
        <v>89</v>
      </c>
      <c r="B91" t="s">
        <v>2</v>
      </c>
      <c r="C91" t="s">
        <v>68</v>
      </c>
      <c r="D91">
        <v>0.2</v>
      </c>
      <c r="E91">
        <v>0.8</v>
      </c>
      <c r="F91">
        <v>333.15</v>
      </c>
      <c r="G91">
        <v>141.69999999999999</v>
      </c>
      <c r="H91">
        <f t="shared" si="4"/>
        <v>-5.63</v>
      </c>
      <c r="I91">
        <v>3.5885753273319477E-3</v>
      </c>
      <c r="J91" t="str">
        <f t="shared" si="5"/>
        <v>CC(=O)OCC[N+](C)(C)C.[Cl-]C1=CN=CN1</v>
      </c>
      <c r="K91">
        <v>11</v>
      </c>
      <c r="M91">
        <f t="shared" si="6"/>
        <v>1.6214713250298407</v>
      </c>
      <c r="N91">
        <f t="shared" si="7"/>
        <v>-0.54210815558025705</v>
      </c>
    </row>
    <row r="92" spans="1:14" x14ac:dyDescent="0.35">
      <c r="A92">
        <v>90</v>
      </c>
      <c r="B92" t="s">
        <v>2</v>
      </c>
      <c r="C92" t="s">
        <v>68</v>
      </c>
      <c r="D92">
        <v>0.2</v>
      </c>
      <c r="E92">
        <v>0.8</v>
      </c>
      <c r="F92">
        <v>333.15</v>
      </c>
      <c r="G92">
        <v>235.4</v>
      </c>
      <c r="H92">
        <f t="shared" si="4"/>
        <v>-5.12</v>
      </c>
      <c r="I92">
        <v>5.9760228950059427E-3</v>
      </c>
      <c r="J92" t="str">
        <f t="shared" si="5"/>
        <v>CC(=O)OCC[N+](C)(C)C.[Cl-]C1=CN=CN1</v>
      </c>
      <c r="K92">
        <v>11</v>
      </c>
      <c r="M92">
        <f t="shared" si="6"/>
        <v>1.6214713250298407</v>
      </c>
      <c r="N92">
        <f t="shared" si="7"/>
        <v>-0.48970310510064097</v>
      </c>
    </row>
    <row r="93" spans="1:14" x14ac:dyDescent="0.35">
      <c r="A93">
        <v>91</v>
      </c>
      <c r="B93" t="s">
        <v>2</v>
      </c>
      <c r="C93" t="s">
        <v>68</v>
      </c>
      <c r="D93">
        <v>0.2</v>
      </c>
      <c r="E93">
        <v>0.8</v>
      </c>
      <c r="F93">
        <v>333.15</v>
      </c>
      <c r="G93">
        <v>346.1</v>
      </c>
      <c r="H93">
        <f t="shared" si="4"/>
        <v>-4.74</v>
      </c>
      <c r="I93">
        <v>8.7386461854732905E-3</v>
      </c>
      <c r="J93" t="str">
        <f t="shared" si="5"/>
        <v>CC(=O)OCC[N+](C)(C)C.[Cl-]C1=CN=CN1</v>
      </c>
      <c r="K93">
        <v>11</v>
      </c>
      <c r="M93">
        <f t="shared" si="6"/>
        <v>1.6214713250298407</v>
      </c>
      <c r="N93">
        <f t="shared" si="7"/>
        <v>-0.42779020127893874</v>
      </c>
    </row>
    <row r="94" spans="1:14" x14ac:dyDescent="0.35">
      <c r="A94">
        <v>92</v>
      </c>
      <c r="B94" t="s">
        <v>2</v>
      </c>
      <c r="C94" t="s">
        <v>68</v>
      </c>
      <c r="D94">
        <v>0.2</v>
      </c>
      <c r="E94">
        <v>0.8</v>
      </c>
      <c r="F94">
        <v>333.15</v>
      </c>
      <c r="G94">
        <v>441.6</v>
      </c>
      <c r="H94">
        <f t="shared" si="4"/>
        <v>-4.51</v>
      </c>
      <c r="I94">
        <v>1.0998460175806881E-2</v>
      </c>
      <c r="J94" t="str">
        <f t="shared" si="5"/>
        <v>CC(=O)OCC[N+](C)(C)C.[Cl-]C1=CN=CN1</v>
      </c>
      <c r="K94">
        <v>11</v>
      </c>
      <c r="M94">
        <f t="shared" si="6"/>
        <v>1.6214713250298407</v>
      </c>
      <c r="N94">
        <f t="shared" si="7"/>
        <v>-0.37437843691604294</v>
      </c>
    </row>
    <row r="95" spans="1:14" x14ac:dyDescent="0.35">
      <c r="A95">
        <v>93</v>
      </c>
      <c r="B95" t="s">
        <v>2</v>
      </c>
      <c r="C95" t="s">
        <v>68</v>
      </c>
      <c r="D95">
        <v>0.2</v>
      </c>
      <c r="E95">
        <v>0.8</v>
      </c>
      <c r="F95">
        <v>333.15</v>
      </c>
      <c r="G95">
        <v>536.29999999999995</v>
      </c>
      <c r="H95">
        <f t="shared" si="4"/>
        <v>-4.3099999999999996</v>
      </c>
      <c r="I95">
        <v>1.3433549594245314E-2</v>
      </c>
      <c r="J95" t="str">
        <f t="shared" si="5"/>
        <v>CC(=O)OCC[N+](C)(C)C.[Cl-]C1=CN=CN1</v>
      </c>
      <c r="K95">
        <v>11</v>
      </c>
      <c r="M95">
        <f t="shared" si="6"/>
        <v>1.6214713250298407</v>
      </c>
      <c r="N95">
        <f t="shared" si="7"/>
        <v>-0.32141410094571599</v>
      </c>
    </row>
    <row r="96" spans="1:14" x14ac:dyDescent="0.35">
      <c r="A96">
        <v>94</v>
      </c>
      <c r="B96" t="s">
        <v>2</v>
      </c>
      <c r="C96" t="s">
        <v>68</v>
      </c>
      <c r="D96">
        <v>0.2</v>
      </c>
      <c r="E96">
        <v>0.8</v>
      </c>
      <c r="F96">
        <v>333.15</v>
      </c>
      <c r="G96">
        <v>594</v>
      </c>
      <c r="H96">
        <f t="shared" si="4"/>
        <v>-4.2</v>
      </c>
      <c r="I96">
        <v>1.4995576820477703E-2</v>
      </c>
      <c r="J96" t="str">
        <f t="shared" si="5"/>
        <v>CC(=O)OCC[N+](C)(C)C.[Cl-]C1=CN=CN1</v>
      </c>
      <c r="K96">
        <v>11</v>
      </c>
      <c r="M96">
        <f t="shared" si="6"/>
        <v>1.6214713250298407</v>
      </c>
      <c r="N96">
        <f t="shared" si="7"/>
        <v>-0.28914332813169408</v>
      </c>
    </row>
    <row r="97" spans="1:14" x14ac:dyDescent="0.35">
      <c r="A97">
        <v>95</v>
      </c>
      <c r="B97" t="s">
        <v>19</v>
      </c>
      <c r="C97" t="s">
        <v>69</v>
      </c>
      <c r="D97">
        <v>0.4</v>
      </c>
      <c r="E97">
        <v>0.6</v>
      </c>
      <c r="F97">
        <v>298.14999999999998</v>
      </c>
      <c r="G97">
        <v>90</v>
      </c>
      <c r="H97">
        <f t="shared" si="4"/>
        <v>-4.086376392572924</v>
      </c>
      <c r="I97">
        <v>1.6799999999999999E-2</v>
      </c>
      <c r="J97" t="str">
        <f t="shared" si="5"/>
        <v>CCCCCCCC[N+](CCCCCCCC)(CCCCCCCC)CCCCCCCC.[Cl-]CCCCCCCCCC(=O)O</v>
      </c>
      <c r="K97">
        <v>23</v>
      </c>
      <c r="M97">
        <f t="shared" si="6"/>
        <v>-1.1215370428862177</v>
      </c>
      <c r="N97">
        <f t="shared" si="7"/>
        <v>-0.57102321545001322</v>
      </c>
    </row>
    <row r="98" spans="1:14" x14ac:dyDescent="0.35">
      <c r="A98">
        <v>96</v>
      </c>
      <c r="B98" t="s">
        <v>19</v>
      </c>
      <c r="C98" t="s">
        <v>69</v>
      </c>
      <c r="D98">
        <v>0.4</v>
      </c>
      <c r="E98">
        <v>0.6</v>
      </c>
      <c r="F98">
        <v>298.14999999999998</v>
      </c>
      <c r="G98">
        <v>190</v>
      </c>
      <c r="H98">
        <f t="shared" si="4"/>
        <v>-3.3581378922017087</v>
      </c>
      <c r="I98">
        <v>3.4799999999999998E-2</v>
      </c>
      <c r="J98" t="str">
        <f t="shared" si="5"/>
        <v>CCCCCCCC[N+](CCCCCCCC)(CCCCCCCC)CCCCCCCC.[Cl-]CCCCCCCCCC(=O)O</v>
      </c>
      <c r="K98">
        <v>23</v>
      </c>
      <c r="M98">
        <f t="shared" si="6"/>
        <v>-1.1215370428862177</v>
      </c>
      <c r="N98">
        <f t="shared" si="7"/>
        <v>-0.5150946663789181</v>
      </c>
    </row>
    <row r="99" spans="1:14" x14ac:dyDescent="0.35">
      <c r="A99">
        <v>97</v>
      </c>
      <c r="B99" t="s">
        <v>19</v>
      </c>
      <c r="C99" t="s">
        <v>69</v>
      </c>
      <c r="D99">
        <v>0.4</v>
      </c>
      <c r="E99">
        <v>0.6</v>
      </c>
      <c r="F99">
        <v>298.14999999999998</v>
      </c>
      <c r="G99">
        <v>290</v>
      </c>
      <c r="H99">
        <f t="shared" si="4"/>
        <v>-2.9778923554256598</v>
      </c>
      <c r="I99">
        <v>5.0900000000000001E-2</v>
      </c>
      <c r="J99" t="str">
        <f t="shared" si="5"/>
        <v>CCCCCCCC[N+](CCCCCCCC)(CCCCCCCC)CCCCCCCC.[Cl-]CCCCCCCCCC(=O)O</v>
      </c>
      <c r="K99">
        <v>23</v>
      </c>
      <c r="M99">
        <f t="shared" si="6"/>
        <v>-1.1215370428862177</v>
      </c>
      <c r="N99">
        <f t="shared" si="7"/>
        <v>-0.45916611730782309</v>
      </c>
    </row>
    <row r="100" spans="1:14" x14ac:dyDescent="0.35">
      <c r="A100">
        <v>98</v>
      </c>
      <c r="B100" t="s">
        <v>19</v>
      </c>
      <c r="C100" t="s">
        <v>69</v>
      </c>
      <c r="D100">
        <v>0.4</v>
      </c>
      <c r="E100">
        <v>0.6</v>
      </c>
      <c r="F100">
        <v>298.14999999999998</v>
      </c>
      <c r="G100">
        <v>390</v>
      </c>
      <c r="H100">
        <f t="shared" si="4"/>
        <v>-2.6853107141327208</v>
      </c>
      <c r="I100">
        <v>6.8199999999999997E-2</v>
      </c>
      <c r="J100" t="str">
        <f t="shared" si="5"/>
        <v>CCCCCCCC[N+](CCCCCCCC)(CCCCCCCC)CCCCCCCC.[Cl-]CCCCCCCCCC(=O)O</v>
      </c>
      <c r="K100">
        <v>23</v>
      </c>
      <c r="M100">
        <f t="shared" si="6"/>
        <v>-1.1215370428862177</v>
      </c>
      <c r="N100">
        <f t="shared" si="7"/>
        <v>-0.40323756823672802</v>
      </c>
    </row>
    <row r="101" spans="1:14" x14ac:dyDescent="0.35">
      <c r="A101">
        <v>99</v>
      </c>
      <c r="B101" t="s">
        <v>19</v>
      </c>
      <c r="C101" t="s">
        <v>69</v>
      </c>
      <c r="D101">
        <v>0.4</v>
      </c>
      <c r="E101">
        <v>0.6</v>
      </c>
      <c r="F101">
        <v>298.14999999999998</v>
      </c>
      <c r="G101">
        <v>490</v>
      </c>
      <c r="H101">
        <f t="shared" si="4"/>
        <v>-2.4662811856648355</v>
      </c>
      <c r="I101">
        <v>8.4900000000000003E-2</v>
      </c>
      <c r="J101" t="str">
        <f t="shared" si="5"/>
        <v>CCCCCCCC[N+](CCCCCCCC)(CCCCCCCC)CCCCCCCC.[Cl-]CCCCCCCCCC(=O)O</v>
      </c>
      <c r="K101">
        <v>23</v>
      </c>
      <c r="M101">
        <f t="shared" si="6"/>
        <v>-1.1215370428862177</v>
      </c>
      <c r="N101">
        <f t="shared" si="7"/>
        <v>-0.34730901916563295</v>
      </c>
    </row>
    <row r="102" spans="1:14" x14ac:dyDescent="0.35">
      <c r="A102">
        <v>100</v>
      </c>
      <c r="B102" t="s">
        <v>19</v>
      </c>
      <c r="C102" t="s">
        <v>69</v>
      </c>
      <c r="D102">
        <v>0.4</v>
      </c>
      <c r="E102">
        <v>0.6</v>
      </c>
      <c r="F102">
        <v>298.14999999999998</v>
      </c>
      <c r="G102">
        <v>790</v>
      </c>
      <c r="H102">
        <f t="shared" si="4"/>
        <v>-2.0061910799402431</v>
      </c>
      <c r="I102">
        <v>0.13450000000000001</v>
      </c>
      <c r="J102" t="str">
        <f t="shared" si="5"/>
        <v>CCCCCCCC[N+](CCCCCCCC)(CCCCCCCC)CCCCCCCC.[Cl-]CCCCCCCCCC(=O)O</v>
      </c>
      <c r="K102">
        <v>23</v>
      </c>
      <c r="M102">
        <f t="shared" si="6"/>
        <v>-1.1215370428862177</v>
      </c>
      <c r="N102">
        <f t="shared" si="7"/>
        <v>-0.1795233719523478</v>
      </c>
    </row>
    <row r="103" spans="1:14" x14ac:dyDescent="0.35">
      <c r="A103">
        <v>101</v>
      </c>
      <c r="B103" t="s">
        <v>19</v>
      </c>
      <c r="C103" t="s">
        <v>69</v>
      </c>
      <c r="D103">
        <v>0.4</v>
      </c>
      <c r="E103">
        <v>0.6</v>
      </c>
      <c r="F103">
        <v>298.14999999999998</v>
      </c>
      <c r="G103">
        <v>990</v>
      </c>
      <c r="H103">
        <f t="shared" si="4"/>
        <v>-1.8042369907391675</v>
      </c>
      <c r="I103">
        <v>0.1646</v>
      </c>
      <c r="J103" t="str">
        <f t="shared" si="5"/>
        <v>CCCCCCCC[N+](CCCCCCCC)(CCCCCCCC)CCCCCCCC.[Cl-]CCCCCCCCCC(=O)O</v>
      </c>
      <c r="K103">
        <v>23</v>
      </c>
      <c r="M103">
        <f t="shared" si="6"/>
        <v>-1.1215370428862177</v>
      </c>
      <c r="N103">
        <f t="shared" si="7"/>
        <v>-6.766627381015769E-2</v>
      </c>
    </row>
    <row r="104" spans="1:14" x14ac:dyDescent="0.35">
      <c r="A104">
        <v>102</v>
      </c>
      <c r="B104" t="s">
        <v>19</v>
      </c>
      <c r="C104" t="s">
        <v>69</v>
      </c>
      <c r="D104">
        <v>0.4</v>
      </c>
      <c r="E104">
        <v>0.6</v>
      </c>
      <c r="F104">
        <v>298.14999999999998</v>
      </c>
      <c r="G104">
        <v>1490</v>
      </c>
      <c r="H104">
        <f t="shared" si="4"/>
        <v>-1.4485953873172699</v>
      </c>
      <c r="I104">
        <v>0.2349</v>
      </c>
      <c r="J104" t="str">
        <f t="shared" si="5"/>
        <v>CCCCCCCC[N+](CCCCCCCC)(CCCCCCCC)CCCCCCCC.[Cl-]CCCCCCCCCC(=O)O</v>
      </c>
      <c r="K104">
        <v>23</v>
      </c>
      <c r="M104">
        <f t="shared" si="6"/>
        <v>-1.1215370428862177</v>
      </c>
      <c r="N104">
        <f t="shared" si="7"/>
        <v>0.21197647154531757</v>
      </c>
    </row>
    <row r="105" spans="1:14" x14ac:dyDescent="0.35">
      <c r="A105">
        <v>103</v>
      </c>
      <c r="B105" t="s">
        <v>19</v>
      </c>
      <c r="C105" t="s">
        <v>69</v>
      </c>
      <c r="D105">
        <v>0.4</v>
      </c>
      <c r="E105">
        <v>0.6</v>
      </c>
      <c r="F105">
        <v>298.14999999999998</v>
      </c>
      <c r="G105">
        <v>1990</v>
      </c>
      <c r="H105">
        <f t="shared" si="4"/>
        <v>-1.205640861426633</v>
      </c>
      <c r="I105">
        <v>0.29949999999999999</v>
      </c>
      <c r="J105" t="str">
        <f t="shared" si="5"/>
        <v>CCCCCCCC[N+](CCCCCCCC)(CCCCCCCC)CCCCCCCC.[Cl-]CCCCCCCCCC(=O)O</v>
      </c>
      <c r="K105">
        <v>23</v>
      </c>
      <c r="M105">
        <f t="shared" si="6"/>
        <v>-1.1215370428862177</v>
      </c>
      <c r="N105">
        <f t="shared" si="7"/>
        <v>0.49161921690079285</v>
      </c>
    </row>
    <row r="106" spans="1:14" x14ac:dyDescent="0.35">
      <c r="A106">
        <v>104</v>
      </c>
      <c r="B106" t="s">
        <v>19</v>
      </c>
      <c r="C106" t="s">
        <v>69</v>
      </c>
      <c r="D106">
        <v>0.4</v>
      </c>
      <c r="E106">
        <v>0.6</v>
      </c>
      <c r="F106">
        <v>308.14999999999998</v>
      </c>
      <c r="G106">
        <v>90</v>
      </c>
      <c r="H106">
        <f t="shared" si="4"/>
        <v>-4.2063940660307235</v>
      </c>
      <c r="I106">
        <v>1.49E-2</v>
      </c>
      <c r="J106" t="str">
        <f t="shared" si="5"/>
        <v>CCCCCCCC[N+](CCCCCCCC)(CCCCCCCC)CCCCCCCC.[Cl-]CCCCCCCCCC(=O)O</v>
      </c>
      <c r="K106">
        <v>23</v>
      </c>
      <c r="M106">
        <f t="shared" si="6"/>
        <v>-0.33782036633877249</v>
      </c>
      <c r="N106">
        <f t="shared" si="7"/>
        <v>-0.57102321545001322</v>
      </c>
    </row>
    <row r="107" spans="1:14" x14ac:dyDescent="0.35">
      <c r="A107">
        <v>105</v>
      </c>
      <c r="B107" t="s">
        <v>19</v>
      </c>
      <c r="C107" t="s">
        <v>69</v>
      </c>
      <c r="D107">
        <v>0.4</v>
      </c>
      <c r="E107">
        <v>0.6</v>
      </c>
      <c r="F107">
        <v>308.14999999999998</v>
      </c>
      <c r="G107">
        <v>190</v>
      </c>
      <c r="H107">
        <f t="shared" si="4"/>
        <v>-3.4933126705699609</v>
      </c>
      <c r="I107">
        <v>3.04E-2</v>
      </c>
      <c r="J107" t="str">
        <f t="shared" si="5"/>
        <v>CCCCCCCC[N+](CCCCCCCC)(CCCCCCCC)CCCCCCCC.[Cl-]CCCCCCCCCC(=O)O</v>
      </c>
      <c r="K107">
        <v>23</v>
      </c>
      <c r="M107">
        <f t="shared" si="6"/>
        <v>-0.33782036633877249</v>
      </c>
      <c r="N107">
        <f t="shared" si="7"/>
        <v>-0.5150946663789181</v>
      </c>
    </row>
    <row r="108" spans="1:14" x14ac:dyDescent="0.35">
      <c r="A108">
        <v>106</v>
      </c>
      <c r="B108" t="s">
        <v>19</v>
      </c>
      <c r="C108" t="s">
        <v>69</v>
      </c>
      <c r="D108">
        <v>0.4</v>
      </c>
      <c r="E108">
        <v>0.6</v>
      </c>
      <c r="F108">
        <v>308.14999999999998</v>
      </c>
      <c r="G108">
        <v>290</v>
      </c>
      <c r="H108">
        <f t="shared" si="4"/>
        <v>-3.0856569810819781</v>
      </c>
      <c r="I108">
        <v>4.5699999999999998E-2</v>
      </c>
      <c r="J108" t="str">
        <f t="shared" si="5"/>
        <v>CCCCCCCC[N+](CCCCCCCC)(CCCCCCCC)CCCCCCCC.[Cl-]CCCCCCCCCC(=O)O</v>
      </c>
      <c r="K108">
        <v>23</v>
      </c>
      <c r="M108">
        <f t="shared" si="6"/>
        <v>-0.33782036633877249</v>
      </c>
      <c r="N108">
        <f t="shared" si="7"/>
        <v>-0.45916611730782309</v>
      </c>
    </row>
    <row r="109" spans="1:14" x14ac:dyDescent="0.35">
      <c r="A109">
        <v>107</v>
      </c>
      <c r="B109" t="s">
        <v>19</v>
      </c>
      <c r="C109" t="s">
        <v>69</v>
      </c>
      <c r="D109">
        <v>0.4</v>
      </c>
      <c r="E109">
        <v>0.6</v>
      </c>
      <c r="F109">
        <v>308.14999999999998</v>
      </c>
      <c r="G109">
        <v>390</v>
      </c>
      <c r="H109">
        <f t="shared" si="4"/>
        <v>-2.7919754360399711</v>
      </c>
      <c r="I109">
        <v>6.13E-2</v>
      </c>
      <c r="J109" t="str">
        <f t="shared" si="5"/>
        <v>CCCCCCCC[N+](CCCCCCCC)(CCCCCCCC)CCCCCCCC.[Cl-]CCCCCCCCCC(=O)O</v>
      </c>
      <c r="K109">
        <v>23</v>
      </c>
      <c r="M109">
        <f t="shared" si="6"/>
        <v>-0.33782036633877249</v>
      </c>
      <c r="N109">
        <f t="shared" si="7"/>
        <v>-0.40323756823672802</v>
      </c>
    </row>
    <row r="110" spans="1:14" x14ac:dyDescent="0.35">
      <c r="A110">
        <v>108</v>
      </c>
      <c r="B110" t="s">
        <v>19</v>
      </c>
      <c r="C110" t="s">
        <v>69</v>
      </c>
      <c r="D110">
        <v>0.4</v>
      </c>
      <c r="E110">
        <v>0.6</v>
      </c>
      <c r="F110">
        <v>308.14999999999998</v>
      </c>
      <c r="G110">
        <v>490</v>
      </c>
      <c r="H110">
        <f t="shared" si="4"/>
        <v>-2.5783385945805528</v>
      </c>
      <c r="I110">
        <v>7.5899999999999995E-2</v>
      </c>
      <c r="J110" t="str">
        <f t="shared" si="5"/>
        <v>CCCCCCCC[N+](CCCCCCCC)(CCCCCCCC)CCCCCCCC.[Cl-]CCCCCCCCCC(=O)O</v>
      </c>
      <c r="K110">
        <v>23</v>
      </c>
      <c r="M110">
        <f t="shared" si="6"/>
        <v>-0.33782036633877249</v>
      </c>
      <c r="N110">
        <f t="shared" si="7"/>
        <v>-0.34730901916563295</v>
      </c>
    </row>
    <row r="111" spans="1:14" x14ac:dyDescent="0.35">
      <c r="A111">
        <v>109</v>
      </c>
      <c r="B111" t="s">
        <v>19</v>
      </c>
      <c r="C111" t="s">
        <v>69</v>
      </c>
      <c r="D111">
        <v>0.4</v>
      </c>
      <c r="E111">
        <v>0.6</v>
      </c>
      <c r="F111">
        <v>308.14999999999998</v>
      </c>
      <c r="G111">
        <v>690</v>
      </c>
      <c r="H111">
        <f t="shared" si="4"/>
        <v>-2.2537949288246137</v>
      </c>
      <c r="I111">
        <v>0.105</v>
      </c>
      <c r="J111" t="str">
        <f t="shared" si="5"/>
        <v>CCCCCCCC[N+](CCCCCCCC)(CCCCCCCC)CCCCCCCC.[Cl-]CCCCCCCCCC(=O)O</v>
      </c>
      <c r="K111">
        <v>23</v>
      </c>
      <c r="M111">
        <f t="shared" si="6"/>
        <v>-0.33782036633877249</v>
      </c>
      <c r="N111">
        <f t="shared" si="7"/>
        <v>-0.23545192102344284</v>
      </c>
    </row>
    <row r="112" spans="1:14" x14ac:dyDescent="0.35">
      <c r="A112">
        <v>110</v>
      </c>
      <c r="B112" t="s">
        <v>19</v>
      </c>
      <c r="C112" t="s">
        <v>69</v>
      </c>
      <c r="D112">
        <v>0.4</v>
      </c>
      <c r="E112">
        <v>0.6</v>
      </c>
      <c r="F112">
        <v>308.14999999999998</v>
      </c>
      <c r="G112">
        <v>790</v>
      </c>
      <c r="H112">
        <f t="shared" si="4"/>
        <v>-2.1336865565322318</v>
      </c>
      <c r="I112">
        <v>0.11840000000000001</v>
      </c>
      <c r="J112" t="str">
        <f t="shared" si="5"/>
        <v>CCCCCCCC[N+](CCCCCCCC)(CCCCCCCC)CCCCCCCC.[Cl-]CCCCCCCCCC(=O)O</v>
      </c>
      <c r="K112">
        <v>23</v>
      </c>
      <c r="M112">
        <f t="shared" si="6"/>
        <v>-0.33782036633877249</v>
      </c>
      <c r="N112">
        <f t="shared" si="7"/>
        <v>-0.1795233719523478</v>
      </c>
    </row>
    <row r="113" spans="1:14" x14ac:dyDescent="0.35">
      <c r="A113">
        <v>111</v>
      </c>
      <c r="B113" t="s">
        <v>19</v>
      </c>
      <c r="C113" t="s">
        <v>69</v>
      </c>
      <c r="D113">
        <v>0.4</v>
      </c>
      <c r="E113">
        <v>0.6</v>
      </c>
      <c r="F113">
        <v>308.14999999999998</v>
      </c>
      <c r="G113">
        <v>990</v>
      </c>
      <c r="H113">
        <f t="shared" si="4"/>
        <v>-1.9324017990305209</v>
      </c>
      <c r="I113">
        <v>0.14480000000000001</v>
      </c>
      <c r="J113" t="str">
        <f t="shared" si="5"/>
        <v>CCCCCCCC[N+](CCCCCCCC)(CCCCCCCC)CCCCCCCC.[Cl-]CCCCCCCCCC(=O)O</v>
      </c>
      <c r="K113">
        <v>23</v>
      </c>
      <c r="M113">
        <f t="shared" si="6"/>
        <v>-0.33782036633877249</v>
      </c>
      <c r="N113">
        <f t="shared" si="7"/>
        <v>-6.766627381015769E-2</v>
      </c>
    </row>
    <row r="114" spans="1:14" x14ac:dyDescent="0.35">
      <c r="A114">
        <v>112</v>
      </c>
      <c r="B114" t="s">
        <v>19</v>
      </c>
      <c r="C114" t="s">
        <v>69</v>
      </c>
      <c r="D114">
        <v>0.4</v>
      </c>
      <c r="E114">
        <v>0.6</v>
      </c>
      <c r="F114">
        <v>308.14999999999998</v>
      </c>
      <c r="G114">
        <v>1190</v>
      </c>
      <c r="H114">
        <f t="shared" si="4"/>
        <v>-1.7701936913134944</v>
      </c>
      <c r="I114">
        <v>0.17030000000000001</v>
      </c>
      <c r="J114" t="str">
        <f t="shared" si="5"/>
        <v>CCCCCCCC[N+](CCCCCCCC)(CCCCCCCC)CCCCCCCC.[Cl-]CCCCCCCCCC(=O)O</v>
      </c>
      <c r="K114">
        <v>23</v>
      </c>
      <c r="M114">
        <f t="shared" si="6"/>
        <v>-0.33782036633877249</v>
      </c>
      <c r="N114">
        <f t="shared" si="7"/>
        <v>4.4190824332032412E-2</v>
      </c>
    </row>
    <row r="115" spans="1:14" x14ac:dyDescent="0.35">
      <c r="A115">
        <v>113</v>
      </c>
      <c r="B115" t="s">
        <v>19</v>
      </c>
      <c r="C115" t="s">
        <v>69</v>
      </c>
      <c r="D115">
        <v>0.4</v>
      </c>
      <c r="E115">
        <v>0.6</v>
      </c>
      <c r="F115">
        <v>308.14999999999998</v>
      </c>
      <c r="G115">
        <v>1490</v>
      </c>
      <c r="H115">
        <f t="shared" si="4"/>
        <v>-1.5721421276904035</v>
      </c>
      <c r="I115">
        <v>0.20760000000000001</v>
      </c>
      <c r="J115" t="str">
        <f t="shared" si="5"/>
        <v>CCCCCCCC[N+](CCCCCCCC)(CCCCCCCC)CCCCCCCC.[Cl-]CCCCCCCCCC(=O)O</v>
      </c>
      <c r="K115">
        <v>23</v>
      </c>
      <c r="M115">
        <f t="shared" si="6"/>
        <v>-0.33782036633877249</v>
      </c>
      <c r="N115">
        <f t="shared" si="7"/>
        <v>0.21197647154531757</v>
      </c>
    </row>
    <row r="116" spans="1:14" x14ac:dyDescent="0.35">
      <c r="A116">
        <v>114</v>
      </c>
      <c r="B116" t="s">
        <v>19</v>
      </c>
      <c r="C116" t="s">
        <v>69</v>
      </c>
      <c r="D116">
        <v>0.4</v>
      </c>
      <c r="E116">
        <v>0.6</v>
      </c>
      <c r="F116">
        <v>308.14999999999998</v>
      </c>
      <c r="G116">
        <v>1790</v>
      </c>
      <c r="H116">
        <f t="shared" si="4"/>
        <v>-1.4159291662495814</v>
      </c>
      <c r="I116">
        <v>0.2427</v>
      </c>
      <c r="J116" t="str">
        <f t="shared" si="5"/>
        <v>CCCCCCCC[N+](CCCCCCCC)(CCCCCCCC)CCCCCCCC.[Cl-]CCCCCCCCCC(=O)O</v>
      </c>
      <c r="K116">
        <v>23</v>
      </c>
      <c r="M116">
        <f t="shared" si="6"/>
        <v>-0.33782036633877249</v>
      </c>
      <c r="N116">
        <f t="shared" si="7"/>
        <v>0.37976211875860272</v>
      </c>
    </row>
    <row r="117" spans="1:14" x14ac:dyDescent="0.35">
      <c r="A117">
        <v>115</v>
      </c>
      <c r="B117" t="s">
        <v>19</v>
      </c>
      <c r="C117" t="s">
        <v>69</v>
      </c>
      <c r="D117">
        <v>0.4</v>
      </c>
      <c r="E117">
        <v>0.6</v>
      </c>
      <c r="F117">
        <v>308.14999999999998</v>
      </c>
      <c r="G117">
        <v>1990</v>
      </c>
      <c r="H117">
        <f t="shared" si="4"/>
        <v>-1.3295360273012817</v>
      </c>
      <c r="I117">
        <v>0.2646</v>
      </c>
      <c r="J117" t="str">
        <f t="shared" si="5"/>
        <v>CCCCCCCC[N+](CCCCCCCC)(CCCCCCCC)CCCCCCCC.[Cl-]CCCCCCCCCC(=O)O</v>
      </c>
      <c r="K117">
        <v>23</v>
      </c>
      <c r="M117">
        <f t="shared" si="6"/>
        <v>-0.33782036633877249</v>
      </c>
      <c r="N117">
        <f t="shared" si="7"/>
        <v>0.49161921690079285</v>
      </c>
    </row>
    <row r="118" spans="1:14" x14ac:dyDescent="0.35">
      <c r="A118">
        <v>116</v>
      </c>
      <c r="B118" t="s">
        <v>19</v>
      </c>
      <c r="C118" t="s">
        <v>69</v>
      </c>
      <c r="D118">
        <v>0.4</v>
      </c>
      <c r="E118">
        <v>0.6</v>
      </c>
      <c r="F118">
        <v>323.14999999999998</v>
      </c>
      <c r="G118">
        <v>90</v>
      </c>
      <c r="H118">
        <f t="shared" si="4"/>
        <v>-4.406319327242926</v>
      </c>
      <c r="I118">
        <v>1.2200000000000001E-2</v>
      </c>
      <c r="J118" t="str">
        <f t="shared" si="5"/>
        <v>CCCCCCCC[N+](CCCCCCCC)(CCCCCCCC)CCCCCCCC.[Cl-]CCCCCCCCCC(=O)O</v>
      </c>
      <c r="K118">
        <v>23</v>
      </c>
      <c r="M118">
        <f t="shared" si="6"/>
        <v>0.83775464848239545</v>
      </c>
      <c r="N118">
        <f t="shared" si="7"/>
        <v>-0.57102321545001322</v>
      </c>
    </row>
    <row r="119" spans="1:14" x14ac:dyDescent="0.35">
      <c r="A119">
        <v>117</v>
      </c>
      <c r="B119" t="s">
        <v>19</v>
      </c>
      <c r="C119" t="s">
        <v>69</v>
      </c>
      <c r="D119">
        <v>0.4</v>
      </c>
      <c r="E119">
        <v>0.6</v>
      </c>
      <c r="F119">
        <v>323.14999999999998</v>
      </c>
      <c r="G119">
        <v>190</v>
      </c>
      <c r="H119">
        <f t="shared" si="4"/>
        <v>-3.7214026458194964</v>
      </c>
      <c r="I119">
        <v>2.4199999999999999E-2</v>
      </c>
      <c r="J119" t="str">
        <f t="shared" si="5"/>
        <v>CCCCCCCC[N+](CCCCCCCC)(CCCCCCCC)CCCCCCCC.[Cl-]CCCCCCCCCC(=O)O</v>
      </c>
      <c r="K119">
        <v>23</v>
      </c>
      <c r="M119">
        <f t="shared" si="6"/>
        <v>0.83775464848239545</v>
      </c>
      <c r="N119">
        <f t="shared" si="7"/>
        <v>-0.5150946663789181</v>
      </c>
    </row>
    <row r="120" spans="1:14" x14ac:dyDescent="0.35">
      <c r="A120">
        <v>118</v>
      </c>
      <c r="B120" t="s">
        <v>19</v>
      </c>
      <c r="C120" t="s">
        <v>69</v>
      </c>
      <c r="D120">
        <v>0.4</v>
      </c>
      <c r="E120">
        <v>0.6</v>
      </c>
      <c r="F120">
        <v>323.14999999999998</v>
      </c>
      <c r="G120">
        <v>290</v>
      </c>
      <c r="H120">
        <f t="shared" si="4"/>
        <v>-3.2416328119908169</v>
      </c>
      <c r="I120">
        <v>3.9100000000000003E-2</v>
      </c>
      <c r="J120" t="str">
        <f t="shared" si="5"/>
        <v>CCCCCCCC[N+](CCCCCCCC)(CCCCCCCC)CCCCCCCC.[Cl-]CCCCCCCCCC(=O)O</v>
      </c>
      <c r="K120">
        <v>23</v>
      </c>
      <c r="M120">
        <f t="shared" si="6"/>
        <v>0.83775464848239545</v>
      </c>
      <c r="N120">
        <f t="shared" si="7"/>
        <v>-0.45916611730782309</v>
      </c>
    </row>
    <row r="121" spans="1:14" x14ac:dyDescent="0.35">
      <c r="A121">
        <v>119</v>
      </c>
      <c r="B121" t="s">
        <v>19</v>
      </c>
      <c r="C121" t="s">
        <v>69</v>
      </c>
      <c r="D121">
        <v>0.4</v>
      </c>
      <c r="E121">
        <v>0.6</v>
      </c>
      <c r="F121">
        <v>323.14999999999998</v>
      </c>
      <c r="G121">
        <v>390</v>
      </c>
      <c r="H121">
        <f t="shared" si="4"/>
        <v>-2.9622974974677536</v>
      </c>
      <c r="I121">
        <v>5.1700000000000003E-2</v>
      </c>
      <c r="J121" t="str">
        <f t="shared" si="5"/>
        <v>CCCCCCCC[N+](CCCCCCCC)(CCCCCCCC)CCCCCCCC.[Cl-]CCCCCCCCCC(=O)O</v>
      </c>
      <c r="K121">
        <v>23</v>
      </c>
      <c r="M121">
        <f t="shared" si="6"/>
        <v>0.83775464848239545</v>
      </c>
      <c r="N121">
        <f t="shared" si="7"/>
        <v>-0.40323756823672802</v>
      </c>
    </row>
    <row r="122" spans="1:14" x14ac:dyDescent="0.35">
      <c r="A122">
        <v>120</v>
      </c>
      <c r="B122" t="s">
        <v>19</v>
      </c>
      <c r="C122" t="s">
        <v>69</v>
      </c>
      <c r="D122">
        <v>0.4</v>
      </c>
      <c r="E122">
        <v>0.6</v>
      </c>
      <c r="F122">
        <v>323.14999999999998</v>
      </c>
      <c r="G122">
        <v>490</v>
      </c>
      <c r="H122">
        <f t="shared" si="4"/>
        <v>-2.752002088631393</v>
      </c>
      <c r="I122">
        <v>6.3799999999999996E-2</v>
      </c>
      <c r="J122" t="str">
        <f t="shared" si="5"/>
        <v>CCCCCCCC[N+](CCCCCCCC)(CCCCCCCC)CCCCCCCC.[Cl-]CCCCCCCCCC(=O)O</v>
      </c>
      <c r="K122">
        <v>23</v>
      </c>
      <c r="M122">
        <f t="shared" si="6"/>
        <v>0.83775464848239545</v>
      </c>
      <c r="N122">
        <f t="shared" si="7"/>
        <v>-0.34730901916563295</v>
      </c>
    </row>
    <row r="123" spans="1:14" x14ac:dyDescent="0.35">
      <c r="A123">
        <v>121</v>
      </c>
      <c r="B123" t="s">
        <v>19</v>
      </c>
      <c r="C123" t="s">
        <v>69</v>
      </c>
      <c r="D123">
        <v>0.4</v>
      </c>
      <c r="E123">
        <v>0.6</v>
      </c>
      <c r="F123">
        <v>323.14999999999998</v>
      </c>
      <c r="G123">
        <v>690</v>
      </c>
      <c r="H123">
        <f t="shared" si="4"/>
        <v>-2.4395509480672031</v>
      </c>
      <c r="I123">
        <v>8.72E-2</v>
      </c>
      <c r="J123" t="str">
        <f t="shared" si="5"/>
        <v>CCCCCCCC[N+](CCCCCCCC)(CCCCCCCC)CCCCCCCC.[Cl-]CCCCCCCCCC(=O)O</v>
      </c>
      <c r="K123">
        <v>23</v>
      </c>
      <c r="M123">
        <f t="shared" si="6"/>
        <v>0.83775464848239545</v>
      </c>
      <c r="N123">
        <f t="shared" si="7"/>
        <v>-0.23545192102344284</v>
      </c>
    </row>
    <row r="124" spans="1:14" x14ac:dyDescent="0.35">
      <c r="A124">
        <v>122</v>
      </c>
      <c r="B124" t="s">
        <v>19</v>
      </c>
      <c r="C124" t="s">
        <v>69</v>
      </c>
      <c r="D124">
        <v>0.4</v>
      </c>
      <c r="E124">
        <v>0.6</v>
      </c>
      <c r="F124">
        <v>323.14999999999998</v>
      </c>
      <c r="G124">
        <v>790</v>
      </c>
      <c r="H124">
        <f t="shared" si="4"/>
        <v>-2.3136460403534707</v>
      </c>
      <c r="I124">
        <v>9.8900000000000002E-2</v>
      </c>
      <c r="J124" t="str">
        <f t="shared" si="5"/>
        <v>CCCCCCCC[N+](CCCCCCCC)(CCCCCCCC)CCCCCCCC.[Cl-]CCCCCCCCCC(=O)O</v>
      </c>
      <c r="K124">
        <v>23</v>
      </c>
      <c r="M124">
        <f t="shared" si="6"/>
        <v>0.83775464848239545</v>
      </c>
      <c r="N124">
        <f t="shared" si="7"/>
        <v>-0.1795233719523478</v>
      </c>
    </row>
    <row r="125" spans="1:14" x14ac:dyDescent="0.35">
      <c r="A125">
        <v>123</v>
      </c>
      <c r="B125" t="s">
        <v>19</v>
      </c>
      <c r="C125" t="s">
        <v>69</v>
      </c>
      <c r="D125">
        <v>0.4</v>
      </c>
      <c r="E125">
        <v>0.6</v>
      </c>
      <c r="F125">
        <v>323.14999999999998</v>
      </c>
      <c r="G125">
        <v>990</v>
      </c>
      <c r="H125">
        <f t="shared" si="4"/>
        <v>-2.1127915213613901</v>
      </c>
      <c r="I125">
        <v>0.12089999999999999</v>
      </c>
      <c r="J125" t="str">
        <f t="shared" si="5"/>
        <v>CCCCCCCC[N+](CCCCCCCC)(CCCCCCCC)CCCCCCCC.[Cl-]CCCCCCCCCC(=O)O</v>
      </c>
      <c r="K125">
        <v>23</v>
      </c>
      <c r="M125">
        <f t="shared" si="6"/>
        <v>0.83775464848239545</v>
      </c>
      <c r="N125">
        <f t="shared" si="7"/>
        <v>-6.766627381015769E-2</v>
      </c>
    </row>
    <row r="126" spans="1:14" x14ac:dyDescent="0.35">
      <c r="A126">
        <v>124</v>
      </c>
      <c r="B126" t="s">
        <v>19</v>
      </c>
      <c r="C126" t="s">
        <v>69</v>
      </c>
      <c r="D126">
        <v>0.4</v>
      </c>
      <c r="E126">
        <v>0.6</v>
      </c>
      <c r="F126">
        <v>323.14999999999998</v>
      </c>
      <c r="G126">
        <v>1190</v>
      </c>
      <c r="H126">
        <f t="shared" si="4"/>
        <v>-1.9449106487222299</v>
      </c>
      <c r="I126">
        <v>0.14299999999999999</v>
      </c>
      <c r="J126" t="str">
        <f t="shared" si="5"/>
        <v>CCCCCCCC[N+](CCCCCCCC)(CCCCCCCC)CCCCCCCC.[Cl-]CCCCCCCCCC(=O)O</v>
      </c>
      <c r="K126">
        <v>23</v>
      </c>
      <c r="M126">
        <f t="shared" si="6"/>
        <v>0.83775464848239545</v>
      </c>
      <c r="N126">
        <f t="shared" si="7"/>
        <v>4.4190824332032412E-2</v>
      </c>
    </row>
    <row r="127" spans="1:14" x14ac:dyDescent="0.35">
      <c r="A127">
        <v>125</v>
      </c>
      <c r="B127" t="s">
        <v>19</v>
      </c>
      <c r="C127" t="s">
        <v>69</v>
      </c>
      <c r="D127">
        <v>0.4</v>
      </c>
      <c r="E127">
        <v>0.6</v>
      </c>
      <c r="F127">
        <v>323.14999999999998</v>
      </c>
      <c r="G127">
        <v>1490</v>
      </c>
      <c r="H127">
        <f t="shared" si="4"/>
        <v>-1.7452576355766352</v>
      </c>
      <c r="I127">
        <v>0.17460000000000001</v>
      </c>
      <c r="J127" t="str">
        <f t="shared" si="5"/>
        <v>CCCCCCCC[N+](CCCCCCCC)(CCCCCCCC)CCCCCCCC.[Cl-]CCCCCCCCCC(=O)O</v>
      </c>
      <c r="K127">
        <v>23</v>
      </c>
      <c r="M127">
        <f t="shared" si="6"/>
        <v>0.83775464848239545</v>
      </c>
      <c r="N127">
        <f t="shared" si="7"/>
        <v>0.21197647154531757</v>
      </c>
    </row>
    <row r="128" spans="1:14" x14ac:dyDescent="0.35">
      <c r="A128">
        <v>126</v>
      </c>
      <c r="B128" t="s">
        <v>19</v>
      </c>
      <c r="C128" t="s">
        <v>69</v>
      </c>
      <c r="D128">
        <v>0.4</v>
      </c>
      <c r="E128">
        <v>0.6</v>
      </c>
      <c r="F128">
        <v>323.14999999999998</v>
      </c>
      <c r="G128">
        <v>1790</v>
      </c>
      <c r="H128">
        <f t="shared" si="4"/>
        <v>-1.5881657771585607</v>
      </c>
      <c r="I128">
        <v>0.20430000000000001</v>
      </c>
      <c r="J128" t="str">
        <f t="shared" si="5"/>
        <v>CCCCCCCC[N+](CCCCCCCC)(CCCCCCCC)CCCCCCCC.[Cl-]CCCCCCCCCC(=O)O</v>
      </c>
      <c r="K128">
        <v>23</v>
      </c>
      <c r="M128">
        <f t="shared" si="6"/>
        <v>0.83775464848239545</v>
      </c>
      <c r="N128">
        <f t="shared" si="7"/>
        <v>0.37976211875860272</v>
      </c>
    </row>
    <row r="129" spans="1:14" x14ac:dyDescent="0.35">
      <c r="A129">
        <v>127</v>
      </c>
      <c r="B129" t="s">
        <v>19</v>
      </c>
      <c r="C129" t="s">
        <v>69</v>
      </c>
      <c r="D129">
        <v>0.4</v>
      </c>
      <c r="E129">
        <v>0.6</v>
      </c>
      <c r="F129">
        <v>323.14999999999998</v>
      </c>
      <c r="G129">
        <v>1990</v>
      </c>
      <c r="H129">
        <f t="shared" si="4"/>
        <v>-1.4961092271270973</v>
      </c>
      <c r="I129">
        <v>0.224</v>
      </c>
      <c r="J129" t="str">
        <f t="shared" si="5"/>
        <v>CCCCCCCC[N+](CCCCCCCC)(CCCCCCCC)CCCCCCCC.[Cl-]CCCCCCCCCC(=O)O</v>
      </c>
      <c r="K129">
        <v>23</v>
      </c>
      <c r="M129">
        <f t="shared" si="6"/>
        <v>0.83775464848239545</v>
      </c>
      <c r="N129">
        <f t="shared" si="7"/>
        <v>0.49161921690079285</v>
      </c>
    </row>
    <row r="130" spans="1:14" x14ac:dyDescent="0.35">
      <c r="A130">
        <v>128</v>
      </c>
      <c r="B130" t="s">
        <v>7</v>
      </c>
      <c r="C130" t="s">
        <v>40</v>
      </c>
      <c r="D130">
        <v>0.33333333333333331</v>
      </c>
      <c r="E130">
        <v>0.66666666666666674</v>
      </c>
      <c r="F130">
        <v>303.14999999999998</v>
      </c>
      <c r="G130">
        <v>236</v>
      </c>
      <c r="H130">
        <f t="shared" si="4"/>
        <v>-4.68</v>
      </c>
      <c r="I130">
        <v>9.2790138870647437E-3</v>
      </c>
      <c r="J130" t="str">
        <f t="shared" si="5"/>
        <v>C[N+](C)(C)CCO.[Cl-]C(CO)O</v>
      </c>
      <c r="K130">
        <v>81</v>
      </c>
      <c r="M130">
        <f t="shared" si="6"/>
        <v>-0.72967870461249518</v>
      </c>
      <c r="N130">
        <f t="shared" si="7"/>
        <v>-0.48936753380621439</v>
      </c>
    </row>
    <row r="131" spans="1:14" x14ac:dyDescent="0.35">
      <c r="A131">
        <v>129</v>
      </c>
      <c r="B131" t="s">
        <v>7</v>
      </c>
      <c r="C131" t="s">
        <v>40</v>
      </c>
      <c r="D131">
        <v>0.33333333333333331</v>
      </c>
      <c r="E131">
        <v>0.66666666666666674</v>
      </c>
      <c r="F131">
        <v>303.14999999999998</v>
      </c>
      <c r="G131">
        <v>537</v>
      </c>
      <c r="H131">
        <f t="shared" ref="H131:H194" si="8">LN(I131)</f>
        <v>-3.83</v>
      </c>
      <c r="I131">
        <v>2.1709615629848571E-2</v>
      </c>
      <c r="J131" t="str">
        <f t="shared" ref="J131:J194" si="9">_xlfn.CONCAT(B131,C131)</f>
        <v>C[N+](C)(C)CCO.[Cl-]C(CO)O</v>
      </c>
      <c r="K131">
        <v>81</v>
      </c>
      <c r="M131">
        <f t="shared" ref="M131:M194" si="10">(F131-$L$3)/$L$2</f>
        <v>-0.72967870461249518</v>
      </c>
      <c r="N131">
        <f t="shared" ref="N131:N194" si="11">(G131-$L$6)/$L$5</f>
        <v>-0.32102260110221831</v>
      </c>
    </row>
    <row r="132" spans="1:14" x14ac:dyDescent="0.35">
      <c r="A132">
        <v>130</v>
      </c>
      <c r="B132" t="s">
        <v>7</v>
      </c>
      <c r="C132" t="s">
        <v>40</v>
      </c>
      <c r="D132">
        <v>0.33333333333333331</v>
      </c>
      <c r="E132">
        <v>0.66666666666666674</v>
      </c>
      <c r="F132">
        <v>303.14999999999998</v>
      </c>
      <c r="G132">
        <v>1004</v>
      </c>
      <c r="H132">
        <f t="shared" si="8"/>
        <v>-3.2</v>
      </c>
      <c r="I132">
        <v>4.0762203978366211E-2</v>
      </c>
      <c r="J132" t="str">
        <f t="shared" si="9"/>
        <v>C[N+](C)(C)CCO.[Cl-]C(CO)O</v>
      </c>
      <c r="K132">
        <v>81</v>
      </c>
      <c r="M132">
        <f t="shared" si="10"/>
        <v>-0.72967870461249518</v>
      </c>
      <c r="N132">
        <f t="shared" si="11"/>
        <v>-5.9836276940204387E-2</v>
      </c>
    </row>
    <row r="133" spans="1:14" x14ac:dyDescent="0.35">
      <c r="A133">
        <v>131</v>
      </c>
      <c r="B133" t="s">
        <v>7</v>
      </c>
      <c r="C133" t="s">
        <v>40</v>
      </c>
      <c r="D133">
        <v>0.33333333333333331</v>
      </c>
      <c r="E133">
        <v>0.66666666666666674</v>
      </c>
      <c r="F133">
        <v>303.14999999999998</v>
      </c>
      <c r="G133">
        <v>1923</v>
      </c>
      <c r="H133">
        <f t="shared" si="8"/>
        <v>-2.5499999999999998</v>
      </c>
      <c r="I133">
        <v>7.8081666001153169E-2</v>
      </c>
      <c r="J133" t="str">
        <f t="shared" si="9"/>
        <v>C[N+](C)(C)CCO.[Cl-]C(CO)O</v>
      </c>
      <c r="K133">
        <v>81</v>
      </c>
      <c r="M133">
        <f t="shared" si="10"/>
        <v>-0.72967870461249518</v>
      </c>
      <c r="N133">
        <f t="shared" si="11"/>
        <v>0.45414708902315915</v>
      </c>
    </row>
    <row r="134" spans="1:14" x14ac:dyDescent="0.35">
      <c r="A134">
        <v>132</v>
      </c>
      <c r="B134" t="s">
        <v>7</v>
      </c>
      <c r="C134" t="s">
        <v>40</v>
      </c>
      <c r="D134">
        <v>0.33333333333333331</v>
      </c>
      <c r="E134">
        <v>0.66666666666666674</v>
      </c>
      <c r="F134">
        <v>303.14999999999998</v>
      </c>
      <c r="G134">
        <v>2760</v>
      </c>
      <c r="H134">
        <f t="shared" si="8"/>
        <v>-2.19</v>
      </c>
      <c r="I134">
        <v>0.11191674861732888</v>
      </c>
      <c r="J134" t="str">
        <f t="shared" si="9"/>
        <v>C[N+](C)(C)CCO.[Cl-]C(CO)O</v>
      </c>
      <c r="K134">
        <v>81</v>
      </c>
      <c r="M134">
        <f t="shared" si="10"/>
        <v>-0.72967870461249518</v>
      </c>
      <c r="N134">
        <f t="shared" si="11"/>
        <v>0.92226904474822469</v>
      </c>
    </row>
    <row r="135" spans="1:14" x14ac:dyDescent="0.35">
      <c r="A135">
        <v>133</v>
      </c>
      <c r="B135" t="s">
        <v>7</v>
      </c>
      <c r="C135" t="s">
        <v>40</v>
      </c>
      <c r="D135">
        <v>0.33333333333333331</v>
      </c>
      <c r="E135">
        <v>0.66666666666666674</v>
      </c>
      <c r="F135">
        <v>303.14999999999998</v>
      </c>
      <c r="G135">
        <v>3849</v>
      </c>
      <c r="H135">
        <f t="shared" si="8"/>
        <v>-1.89</v>
      </c>
      <c r="I135">
        <v>0.15107180883637086</v>
      </c>
      <c r="J135" t="str">
        <f t="shared" si="9"/>
        <v>C[N+](C)(C)CCO.[Cl-]C(CO)O</v>
      </c>
      <c r="K135">
        <v>81</v>
      </c>
      <c r="M135">
        <f t="shared" si="10"/>
        <v>-0.72967870461249518</v>
      </c>
      <c r="N135">
        <f t="shared" si="11"/>
        <v>1.5313309441324499</v>
      </c>
    </row>
    <row r="136" spans="1:14" x14ac:dyDescent="0.35">
      <c r="A136">
        <v>134</v>
      </c>
      <c r="B136" t="s">
        <v>7</v>
      </c>
      <c r="C136" t="s">
        <v>40</v>
      </c>
      <c r="D136">
        <v>0.33333333333333331</v>
      </c>
      <c r="E136">
        <v>0.66666666666666674</v>
      </c>
      <c r="F136">
        <v>303.14999999999998</v>
      </c>
      <c r="G136">
        <v>4971</v>
      </c>
      <c r="H136">
        <f t="shared" si="8"/>
        <v>-1.65</v>
      </c>
      <c r="I136">
        <v>0.19204990862075413</v>
      </c>
      <c r="J136" t="str">
        <f t="shared" si="9"/>
        <v>C[N+](C)(C)CCO.[Cl-]C(CO)O</v>
      </c>
      <c r="K136">
        <v>81</v>
      </c>
      <c r="M136">
        <f t="shared" si="10"/>
        <v>-0.72967870461249518</v>
      </c>
      <c r="N136">
        <f t="shared" si="11"/>
        <v>2.1588492647101365</v>
      </c>
    </row>
    <row r="137" spans="1:14" x14ac:dyDescent="0.35">
      <c r="A137">
        <v>135</v>
      </c>
      <c r="B137" t="s">
        <v>7</v>
      </c>
      <c r="C137" t="s">
        <v>40</v>
      </c>
      <c r="D137">
        <v>0.33333333333333331</v>
      </c>
      <c r="E137">
        <v>0.66666666666666674</v>
      </c>
      <c r="F137">
        <v>303.14999999999998</v>
      </c>
      <c r="G137">
        <v>5863</v>
      </c>
      <c r="H137">
        <f t="shared" si="8"/>
        <v>-1.53</v>
      </c>
      <c r="I137">
        <v>0.21653566731600707</v>
      </c>
      <c r="J137" t="str">
        <f t="shared" si="9"/>
        <v>C[N+](C)(C)CCO.[Cl-]C(CO)O</v>
      </c>
      <c r="K137">
        <v>81</v>
      </c>
      <c r="M137">
        <f t="shared" si="10"/>
        <v>-0.72967870461249518</v>
      </c>
      <c r="N137">
        <f t="shared" si="11"/>
        <v>2.6577319224243041</v>
      </c>
    </row>
    <row r="138" spans="1:14" x14ac:dyDescent="0.35">
      <c r="A138">
        <v>136</v>
      </c>
      <c r="B138" t="s">
        <v>7</v>
      </c>
      <c r="C138" t="s">
        <v>40</v>
      </c>
      <c r="D138">
        <v>0.33333333333333331</v>
      </c>
      <c r="E138">
        <v>0.66666666666666674</v>
      </c>
      <c r="F138">
        <v>313.14999999999998</v>
      </c>
      <c r="G138">
        <v>248</v>
      </c>
      <c r="H138">
        <f t="shared" si="8"/>
        <v>-4.8499999999999996</v>
      </c>
      <c r="I138">
        <v>7.8283775492257734E-3</v>
      </c>
      <c r="J138" t="str">
        <f t="shared" si="9"/>
        <v>C[N+](C)(C)CCO.[Cl-]C(CO)O</v>
      </c>
      <c r="K138">
        <v>81</v>
      </c>
      <c r="M138">
        <f t="shared" si="10"/>
        <v>5.4037971934950142E-2</v>
      </c>
      <c r="N138">
        <f t="shared" si="11"/>
        <v>-0.48265610791768299</v>
      </c>
    </row>
    <row r="139" spans="1:14" x14ac:dyDescent="0.35">
      <c r="A139">
        <v>137</v>
      </c>
      <c r="B139" t="s">
        <v>7</v>
      </c>
      <c r="C139" t="s">
        <v>40</v>
      </c>
      <c r="D139">
        <v>0.33333333333333331</v>
      </c>
      <c r="E139">
        <v>0.66666666666666674</v>
      </c>
      <c r="F139">
        <v>313.14999999999998</v>
      </c>
      <c r="G139">
        <v>565</v>
      </c>
      <c r="H139">
        <f t="shared" si="8"/>
        <v>-4.01</v>
      </c>
      <c r="I139">
        <v>1.8133395236801075E-2</v>
      </c>
      <c r="J139" t="str">
        <f t="shared" si="9"/>
        <v>C[N+](C)(C)CCO.[Cl-]C(CO)O</v>
      </c>
      <c r="K139">
        <v>81</v>
      </c>
      <c r="M139">
        <f t="shared" si="10"/>
        <v>5.4037971934950142E-2</v>
      </c>
      <c r="N139">
        <f t="shared" si="11"/>
        <v>-0.30536260736231169</v>
      </c>
    </row>
    <row r="140" spans="1:14" x14ac:dyDescent="0.35">
      <c r="A140">
        <v>138</v>
      </c>
      <c r="B140" t="s">
        <v>7</v>
      </c>
      <c r="C140" t="s">
        <v>40</v>
      </c>
      <c r="D140">
        <v>0.33333333333333331</v>
      </c>
      <c r="E140">
        <v>0.66666666666666674</v>
      </c>
      <c r="F140">
        <v>313.14999999999998</v>
      </c>
      <c r="G140">
        <v>1055</v>
      </c>
      <c r="H140">
        <f t="shared" si="8"/>
        <v>-3.37</v>
      </c>
      <c r="I140">
        <v>3.4389637343472709E-2</v>
      </c>
      <c r="J140" t="str">
        <f t="shared" si="9"/>
        <v>C[N+](C)(C)CCO.[Cl-]C(CO)O</v>
      </c>
      <c r="K140">
        <v>81</v>
      </c>
      <c r="M140">
        <f t="shared" si="10"/>
        <v>5.4037971934950142E-2</v>
      </c>
      <c r="N140">
        <f t="shared" si="11"/>
        <v>-3.1312716913945909E-2</v>
      </c>
    </row>
    <row r="141" spans="1:14" x14ac:dyDescent="0.35">
      <c r="A141">
        <v>139</v>
      </c>
      <c r="B141" t="s">
        <v>7</v>
      </c>
      <c r="C141" t="s">
        <v>40</v>
      </c>
      <c r="D141">
        <v>0.33333333333333331</v>
      </c>
      <c r="E141">
        <v>0.66666666666666674</v>
      </c>
      <c r="F141">
        <v>313.14999999999998</v>
      </c>
      <c r="G141">
        <v>1928</v>
      </c>
      <c r="H141">
        <f t="shared" si="8"/>
        <v>-2.77</v>
      </c>
      <c r="I141">
        <v>6.2662004742153152E-2</v>
      </c>
      <c r="J141" t="str">
        <f t="shared" si="9"/>
        <v>C[N+](C)(C)CCO.[Cl-]C(CO)O</v>
      </c>
      <c r="K141">
        <v>81</v>
      </c>
      <c r="M141">
        <f t="shared" si="10"/>
        <v>5.4037971934950142E-2</v>
      </c>
      <c r="N141">
        <f t="shared" si="11"/>
        <v>0.45694351647671388</v>
      </c>
    </row>
    <row r="142" spans="1:14" x14ac:dyDescent="0.35">
      <c r="A142">
        <v>140</v>
      </c>
      <c r="B142" t="s">
        <v>7</v>
      </c>
      <c r="C142" t="s">
        <v>40</v>
      </c>
      <c r="D142">
        <v>0.33333333333333331</v>
      </c>
      <c r="E142">
        <v>0.66666666666666674</v>
      </c>
      <c r="F142">
        <v>313.14999999999998</v>
      </c>
      <c r="G142">
        <v>2782</v>
      </c>
      <c r="H142">
        <f t="shared" si="8"/>
        <v>-2.4</v>
      </c>
      <c r="I142">
        <v>9.0717953289412512E-2</v>
      </c>
      <c r="J142" t="str">
        <f t="shared" si="9"/>
        <v>C[N+](C)(C)CCO.[Cl-]C(CO)O</v>
      </c>
      <c r="K142">
        <v>81</v>
      </c>
      <c r="M142">
        <f t="shared" si="10"/>
        <v>5.4037971934950142E-2</v>
      </c>
      <c r="N142">
        <f t="shared" si="11"/>
        <v>0.93457332554386563</v>
      </c>
    </row>
    <row r="143" spans="1:14" x14ac:dyDescent="0.35">
      <c r="A143">
        <v>141</v>
      </c>
      <c r="B143" t="s">
        <v>7</v>
      </c>
      <c r="C143" t="s">
        <v>40</v>
      </c>
      <c r="D143">
        <v>0.33333333333333331</v>
      </c>
      <c r="E143">
        <v>0.66666666666666674</v>
      </c>
      <c r="F143">
        <v>313.14999999999998</v>
      </c>
      <c r="G143">
        <v>3889</v>
      </c>
      <c r="H143">
        <f t="shared" si="8"/>
        <v>-2.0699999999999998</v>
      </c>
      <c r="I143">
        <v>0.12618578170503877</v>
      </c>
      <c r="J143" t="str">
        <f t="shared" si="9"/>
        <v>C[N+](C)(C)CCO.[Cl-]C(CO)O</v>
      </c>
      <c r="K143">
        <v>81</v>
      </c>
      <c r="M143">
        <f t="shared" si="10"/>
        <v>5.4037971934950142E-2</v>
      </c>
      <c r="N143">
        <f t="shared" si="11"/>
        <v>1.5537023637608878</v>
      </c>
    </row>
    <row r="144" spans="1:14" x14ac:dyDescent="0.35">
      <c r="A144">
        <v>142</v>
      </c>
      <c r="B144" t="s">
        <v>7</v>
      </c>
      <c r="C144" t="s">
        <v>40</v>
      </c>
      <c r="D144">
        <v>0.33333333333333331</v>
      </c>
      <c r="E144">
        <v>0.66666666666666674</v>
      </c>
      <c r="F144">
        <v>313.14999999999998</v>
      </c>
      <c r="G144">
        <v>5040</v>
      </c>
      <c r="H144">
        <f t="shared" si="8"/>
        <v>-1.82</v>
      </c>
      <c r="I144">
        <v>0.16202575093388075</v>
      </c>
      <c r="J144" t="str">
        <f t="shared" si="9"/>
        <v>C[N+](C)(C)CCO.[Cl-]C(CO)O</v>
      </c>
      <c r="K144">
        <v>81</v>
      </c>
      <c r="M144">
        <f t="shared" si="10"/>
        <v>5.4037971934950142E-2</v>
      </c>
      <c r="N144">
        <f t="shared" si="11"/>
        <v>2.1974399635691921</v>
      </c>
    </row>
    <row r="145" spans="1:14" x14ac:dyDescent="0.35">
      <c r="A145">
        <v>143</v>
      </c>
      <c r="B145" t="s">
        <v>7</v>
      </c>
      <c r="C145" t="s">
        <v>40</v>
      </c>
      <c r="D145">
        <v>0.33333333333333331</v>
      </c>
      <c r="E145">
        <v>0.66666666666666674</v>
      </c>
      <c r="F145">
        <v>313.14999999999998</v>
      </c>
      <c r="G145">
        <v>5902</v>
      </c>
      <c r="H145">
        <f t="shared" si="8"/>
        <v>-1.68</v>
      </c>
      <c r="I145">
        <v>0.18637397603940997</v>
      </c>
      <c r="J145" t="str">
        <f t="shared" si="9"/>
        <v>C[N+](C)(C)CCO.[Cl-]C(CO)O</v>
      </c>
      <c r="K145">
        <v>81</v>
      </c>
      <c r="M145">
        <f t="shared" si="10"/>
        <v>5.4037971934950142E-2</v>
      </c>
      <c r="N145">
        <f t="shared" si="11"/>
        <v>2.6795440565620314</v>
      </c>
    </row>
    <row r="146" spans="1:14" x14ac:dyDescent="0.35">
      <c r="A146">
        <v>144</v>
      </c>
      <c r="B146" t="s">
        <v>7</v>
      </c>
      <c r="C146" t="s">
        <v>40</v>
      </c>
      <c r="D146">
        <v>0.33333333333333331</v>
      </c>
      <c r="E146">
        <v>0.66666666666666674</v>
      </c>
      <c r="F146">
        <v>323.14999999999998</v>
      </c>
      <c r="G146">
        <v>306</v>
      </c>
      <c r="H146">
        <f t="shared" si="8"/>
        <v>-4.8600000000000003</v>
      </c>
      <c r="I146">
        <v>7.7504838911366921E-3</v>
      </c>
      <c r="J146" t="str">
        <f t="shared" si="9"/>
        <v>C[N+](C)(C)CCO.[Cl-]C(CO)O</v>
      </c>
      <c r="K146">
        <v>81</v>
      </c>
      <c r="M146">
        <f t="shared" si="10"/>
        <v>0.83775464848239545</v>
      </c>
      <c r="N146">
        <f t="shared" si="11"/>
        <v>-0.45021754945644787</v>
      </c>
    </row>
    <row r="147" spans="1:14" x14ac:dyDescent="0.35">
      <c r="A147">
        <v>145</v>
      </c>
      <c r="B147" t="s">
        <v>7</v>
      </c>
      <c r="C147" t="s">
        <v>40</v>
      </c>
      <c r="D147">
        <v>0.33333333333333331</v>
      </c>
      <c r="E147">
        <v>0.66666666666666674</v>
      </c>
      <c r="F147">
        <v>323.14999999999998</v>
      </c>
      <c r="G147">
        <v>603</v>
      </c>
      <c r="H147">
        <f t="shared" si="8"/>
        <v>-4.16</v>
      </c>
      <c r="I147">
        <v>1.5607557919982831E-2</v>
      </c>
      <c r="J147" t="str">
        <f t="shared" si="9"/>
        <v>C[N+](C)(C)CCO.[Cl-]C(CO)O</v>
      </c>
      <c r="K147">
        <v>81</v>
      </c>
      <c r="M147">
        <f t="shared" si="10"/>
        <v>0.83775464848239545</v>
      </c>
      <c r="N147">
        <f t="shared" si="11"/>
        <v>-0.28410975871529554</v>
      </c>
    </row>
    <row r="148" spans="1:14" x14ac:dyDescent="0.35">
      <c r="A148">
        <v>146</v>
      </c>
      <c r="B148" t="s">
        <v>7</v>
      </c>
      <c r="C148" t="s">
        <v>40</v>
      </c>
      <c r="D148">
        <v>0.33333333333333331</v>
      </c>
      <c r="E148">
        <v>0.66666666666666674</v>
      </c>
      <c r="F148">
        <v>323.14999999999998</v>
      </c>
      <c r="G148">
        <v>1092</v>
      </c>
      <c r="H148">
        <f t="shared" si="8"/>
        <v>-3.56</v>
      </c>
      <c r="I148">
        <v>2.8438824714184505E-2</v>
      </c>
      <c r="J148" t="str">
        <f t="shared" si="9"/>
        <v>C[N+](C)(C)CCO.[Cl-]C(CO)O</v>
      </c>
      <c r="K148">
        <v>81</v>
      </c>
      <c r="M148">
        <f t="shared" si="10"/>
        <v>0.83775464848239545</v>
      </c>
      <c r="N148">
        <f t="shared" si="11"/>
        <v>-1.0619153757640743E-2</v>
      </c>
    </row>
    <row r="149" spans="1:14" x14ac:dyDescent="0.35">
      <c r="A149">
        <v>147</v>
      </c>
      <c r="B149" t="s">
        <v>7</v>
      </c>
      <c r="C149" t="s">
        <v>40</v>
      </c>
      <c r="D149">
        <v>0.33333333333333331</v>
      </c>
      <c r="E149">
        <v>0.66666666666666674</v>
      </c>
      <c r="F149">
        <v>323.14999999999998</v>
      </c>
      <c r="G149">
        <v>1950</v>
      </c>
      <c r="H149">
        <f t="shared" si="8"/>
        <v>-2.99</v>
      </c>
      <c r="I149">
        <v>5.0287436723591865E-2</v>
      </c>
      <c r="J149" t="str">
        <f t="shared" si="9"/>
        <v>C[N+](C)(C)CCO.[Cl-]C(CO)O</v>
      </c>
      <c r="K149">
        <v>81</v>
      </c>
      <c r="M149">
        <f t="shared" si="10"/>
        <v>0.83775464848239545</v>
      </c>
      <c r="N149">
        <f t="shared" si="11"/>
        <v>0.46924779727235483</v>
      </c>
    </row>
    <row r="150" spans="1:14" x14ac:dyDescent="0.35">
      <c r="A150">
        <v>148</v>
      </c>
      <c r="B150" t="s">
        <v>7</v>
      </c>
      <c r="C150" t="s">
        <v>40</v>
      </c>
      <c r="D150">
        <v>0.33333333333333331</v>
      </c>
      <c r="E150">
        <v>0.66666666666666674</v>
      </c>
      <c r="F150">
        <v>323.14999999999998</v>
      </c>
      <c r="G150">
        <v>2833</v>
      </c>
      <c r="H150">
        <f t="shared" si="8"/>
        <v>-2.61</v>
      </c>
      <c r="I150">
        <v>7.3534543763057097E-2</v>
      </c>
      <c r="J150" t="str">
        <f t="shared" si="9"/>
        <v>C[N+](C)(C)CCO.[Cl-]C(CO)O</v>
      </c>
      <c r="K150">
        <v>81</v>
      </c>
      <c r="M150">
        <f t="shared" si="10"/>
        <v>0.83775464848239545</v>
      </c>
      <c r="N150">
        <f t="shared" si="11"/>
        <v>0.96309688557012407</v>
      </c>
    </row>
    <row r="151" spans="1:14" x14ac:dyDescent="0.35">
      <c r="A151">
        <v>149</v>
      </c>
      <c r="B151" t="s">
        <v>7</v>
      </c>
      <c r="C151" t="s">
        <v>40</v>
      </c>
      <c r="D151">
        <v>0.33333333333333331</v>
      </c>
      <c r="E151">
        <v>0.66666666666666674</v>
      </c>
      <c r="F151">
        <v>323.14999999999998</v>
      </c>
      <c r="G151">
        <v>3948</v>
      </c>
      <c r="H151">
        <f t="shared" si="8"/>
        <v>-2.2599999999999998</v>
      </c>
      <c r="I151">
        <v>0.10435048475476504</v>
      </c>
      <c r="J151" t="str">
        <f t="shared" si="9"/>
        <v>C[N+](C)(C)CCO.[Cl-]C(CO)O</v>
      </c>
      <c r="K151">
        <v>81</v>
      </c>
      <c r="M151">
        <f t="shared" si="10"/>
        <v>0.83775464848239545</v>
      </c>
      <c r="N151">
        <f t="shared" si="11"/>
        <v>1.586700207712834</v>
      </c>
    </row>
    <row r="152" spans="1:14" x14ac:dyDescent="0.35">
      <c r="A152">
        <v>150</v>
      </c>
      <c r="B152" t="s">
        <v>7</v>
      </c>
      <c r="C152" t="s">
        <v>40</v>
      </c>
      <c r="D152">
        <v>0.33333333333333331</v>
      </c>
      <c r="E152">
        <v>0.66666666666666674</v>
      </c>
      <c r="F152">
        <v>323.14999999999998</v>
      </c>
      <c r="G152">
        <v>5110</v>
      </c>
      <c r="H152">
        <f t="shared" si="8"/>
        <v>-2.02</v>
      </c>
      <c r="I152">
        <v>0.13265546508012172</v>
      </c>
      <c r="J152" t="str">
        <f t="shared" si="9"/>
        <v>C[N+](C)(C)CCO.[Cl-]C(CO)O</v>
      </c>
      <c r="K152">
        <v>81</v>
      </c>
      <c r="M152">
        <f t="shared" si="10"/>
        <v>0.83775464848239545</v>
      </c>
      <c r="N152">
        <f t="shared" si="11"/>
        <v>2.2365899479189584</v>
      </c>
    </row>
    <row r="153" spans="1:14" x14ac:dyDescent="0.35">
      <c r="A153">
        <v>151</v>
      </c>
      <c r="B153" t="s">
        <v>7</v>
      </c>
      <c r="C153" t="s">
        <v>40</v>
      </c>
      <c r="D153">
        <v>0.33333333333333331</v>
      </c>
      <c r="E153">
        <v>0.66666666666666674</v>
      </c>
      <c r="F153">
        <v>323.14999999999998</v>
      </c>
      <c r="G153">
        <v>6167</v>
      </c>
      <c r="H153">
        <f t="shared" si="8"/>
        <v>-1.82</v>
      </c>
      <c r="I153">
        <v>0.16202575093388075</v>
      </c>
      <c r="J153" t="str">
        <f t="shared" si="9"/>
        <v>C[N+](C)(C)CCO.[Cl-]C(CO)O</v>
      </c>
      <c r="K153">
        <v>81</v>
      </c>
      <c r="M153">
        <f t="shared" si="10"/>
        <v>0.83775464848239545</v>
      </c>
      <c r="N153">
        <f t="shared" si="11"/>
        <v>2.8277547116004333</v>
      </c>
    </row>
    <row r="154" spans="1:14" x14ac:dyDescent="0.35">
      <c r="A154">
        <v>152</v>
      </c>
      <c r="B154" t="s">
        <v>7</v>
      </c>
      <c r="C154" t="s">
        <v>40</v>
      </c>
      <c r="D154">
        <v>0.33333333333333331</v>
      </c>
      <c r="E154">
        <v>0.66666666666666674</v>
      </c>
      <c r="F154">
        <v>333.15</v>
      </c>
      <c r="G154">
        <v>332</v>
      </c>
      <c r="H154">
        <f t="shared" si="8"/>
        <v>-4.99</v>
      </c>
      <c r="I154">
        <v>6.8056644922305431E-3</v>
      </c>
      <c r="J154" t="str">
        <f t="shared" si="9"/>
        <v>C[N+](C)(C)CCO.[Cl-]C(CO)O</v>
      </c>
      <c r="K154">
        <v>81</v>
      </c>
      <c r="M154">
        <f t="shared" si="10"/>
        <v>1.6214713250298407</v>
      </c>
      <c r="N154">
        <f t="shared" si="11"/>
        <v>-0.43567612669796313</v>
      </c>
    </row>
    <row r="155" spans="1:14" x14ac:dyDescent="0.35">
      <c r="A155">
        <v>153</v>
      </c>
      <c r="B155" t="s">
        <v>7</v>
      </c>
      <c r="C155" t="s">
        <v>40</v>
      </c>
      <c r="D155">
        <v>0.33333333333333331</v>
      </c>
      <c r="E155">
        <v>0.66666666666666674</v>
      </c>
      <c r="F155">
        <v>333.15</v>
      </c>
      <c r="G155">
        <v>637</v>
      </c>
      <c r="H155">
        <f t="shared" si="8"/>
        <v>-4.32</v>
      </c>
      <c r="I155">
        <v>1.3299883542443767E-2</v>
      </c>
      <c r="J155" t="str">
        <f t="shared" si="9"/>
        <v>C[N+](C)(C)CCO.[Cl-]C(CO)O</v>
      </c>
      <c r="K155">
        <v>81</v>
      </c>
      <c r="M155">
        <f t="shared" si="10"/>
        <v>1.6214713250298407</v>
      </c>
      <c r="N155">
        <f t="shared" si="11"/>
        <v>-0.26509405203112324</v>
      </c>
    </row>
    <row r="156" spans="1:14" x14ac:dyDescent="0.35">
      <c r="A156">
        <v>154</v>
      </c>
      <c r="B156" t="s">
        <v>7</v>
      </c>
      <c r="C156" t="s">
        <v>40</v>
      </c>
      <c r="D156">
        <v>0.33333333333333331</v>
      </c>
      <c r="E156">
        <v>0.66666666666666674</v>
      </c>
      <c r="F156">
        <v>333.15</v>
      </c>
      <c r="G156">
        <v>1094</v>
      </c>
      <c r="H156">
        <f t="shared" si="8"/>
        <v>-3.78</v>
      </c>
      <c r="I156">
        <v>2.2822691425092981E-2</v>
      </c>
      <c r="J156" t="str">
        <f t="shared" si="9"/>
        <v>C[N+](C)(C)CCO.[Cl-]C(CO)O</v>
      </c>
      <c r="K156">
        <v>81</v>
      </c>
      <c r="M156">
        <f t="shared" si="10"/>
        <v>1.6214713250298407</v>
      </c>
      <c r="N156">
        <f t="shared" si="11"/>
        <v>-9.5005827762188414E-3</v>
      </c>
    </row>
    <row r="157" spans="1:14" x14ac:dyDescent="0.35">
      <c r="A157">
        <v>155</v>
      </c>
      <c r="B157" t="s">
        <v>7</v>
      </c>
      <c r="C157" t="s">
        <v>40</v>
      </c>
      <c r="D157">
        <v>0.33333333333333331</v>
      </c>
      <c r="E157">
        <v>0.66666666666666674</v>
      </c>
      <c r="F157">
        <v>333.15</v>
      </c>
      <c r="G157">
        <v>1948</v>
      </c>
      <c r="H157">
        <f t="shared" si="8"/>
        <v>-3.2</v>
      </c>
      <c r="I157">
        <v>4.0762203978366211E-2</v>
      </c>
      <c r="J157" t="str">
        <f t="shared" si="9"/>
        <v>C[N+](C)(C)CCO.[Cl-]C(CO)O</v>
      </c>
      <c r="K157">
        <v>81</v>
      </c>
      <c r="M157">
        <f t="shared" si="10"/>
        <v>1.6214713250298407</v>
      </c>
      <c r="N157">
        <f t="shared" si="11"/>
        <v>0.4681292262909329</v>
      </c>
    </row>
    <row r="158" spans="1:14" x14ac:dyDescent="0.35">
      <c r="A158">
        <v>156</v>
      </c>
      <c r="B158" t="s">
        <v>7</v>
      </c>
      <c r="C158" t="s">
        <v>40</v>
      </c>
      <c r="D158">
        <v>0.33333333333333331</v>
      </c>
      <c r="E158">
        <v>0.66666666666666674</v>
      </c>
      <c r="F158">
        <v>333.15</v>
      </c>
      <c r="G158">
        <v>2831</v>
      </c>
      <c r="H158">
        <f t="shared" si="8"/>
        <v>-2.84</v>
      </c>
      <c r="I158">
        <v>5.8425665964500828E-2</v>
      </c>
      <c r="J158" t="str">
        <f t="shared" si="9"/>
        <v>C[N+](C)(C)CCO.[Cl-]C(CO)O</v>
      </c>
      <c r="K158">
        <v>81</v>
      </c>
      <c r="M158">
        <f t="shared" si="10"/>
        <v>1.6214713250298407</v>
      </c>
      <c r="N158">
        <f t="shared" si="11"/>
        <v>0.9619783145887022</v>
      </c>
    </row>
    <row r="159" spans="1:14" x14ac:dyDescent="0.35">
      <c r="A159">
        <v>157</v>
      </c>
      <c r="B159" t="s">
        <v>7</v>
      </c>
      <c r="C159" t="s">
        <v>40</v>
      </c>
      <c r="D159">
        <v>0.33333333333333331</v>
      </c>
      <c r="E159">
        <v>0.66666666666666674</v>
      </c>
      <c r="F159">
        <v>333.15</v>
      </c>
      <c r="G159">
        <v>3944</v>
      </c>
      <c r="H159">
        <f t="shared" si="8"/>
        <v>-2.54</v>
      </c>
      <c r="I159">
        <v>7.8866399790674946E-2</v>
      </c>
      <c r="J159" t="str">
        <f t="shared" si="9"/>
        <v>C[N+](C)(C)CCO.[Cl-]C(CO)O</v>
      </c>
      <c r="K159">
        <v>81</v>
      </c>
      <c r="M159">
        <f t="shared" si="10"/>
        <v>1.6214713250298407</v>
      </c>
      <c r="N159">
        <f t="shared" si="11"/>
        <v>1.5844630657499901</v>
      </c>
    </row>
    <row r="160" spans="1:14" x14ac:dyDescent="0.35">
      <c r="A160">
        <v>158</v>
      </c>
      <c r="B160" t="s">
        <v>7</v>
      </c>
      <c r="C160" t="s">
        <v>40</v>
      </c>
      <c r="D160">
        <v>0.33333333333333331</v>
      </c>
      <c r="E160">
        <v>0.66666666666666674</v>
      </c>
      <c r="F160">
        <v>333.15</v>
      </c>
      <c r="G160">
        <v>5188</v>
      </c>
      <c r="H160">
        <f t="shared" si="8"/>
        <v>-2.23</v>
      </c>
      <c r="I160">
        <v>0.10752843013579495</v>
      </c>
      <c r="J160" t="str">
        <f t="shared" si="9"/>
        <v>C[N+](C)(C)CCO.[Cl-]C(CO)O</v>
      </c>
      <c r="K160">
        <v>81</v>
      </c>
      <c r="M160">
        <f t="shared" si="10"/>
        <v>1.6214713250298407</v>
      </c>
      <c r="N160">
        <f t="shared" si="11"/>
        <v>2.2802142161944126</v>
      </c>
    </row>
    <row r="161" spans="1:14" x14ac:dyDescent="0.35">
      <c r="A161">
        <v>159</v>
      </c>
      <c r="B161" t="s">
        <v>7</v>
      </c>
      <c r="C161" t="s">
        <v>40</v>
      </c>
      <c r="D161">
        <v>0.33333333333333331</v>
      </c>
      <c r="E161">
        <v>0.66666666666666674</v>
      </c>
      <c r="F161">
        <v>333.15</v>
      </c>
      <c r="G161">
        <v>6104</v>
      </c>
      <c r="H161">
        <f t="shared" si="8"/>
        <v>-2.1</v>
      </c>
      <c r="I161">
        <v>0.12245642825298191</v>
      </c>
      <c r="J161" t="str">
        <f t="shared" si="9"/>
        <v>C[N+](C)(C)CCO.[Cl-]C(CO)O</v>
      </c>
      <c r="K161">
        <v>81</v>
      </c>
      <c r="M161">
        <f t="shared" si="10"/>
        <v>1.6214713250298407</v>
      </c>
      <c r="N161">
        <f t="shared" si="11"/>
        <v>2.7925197256856431</v>
      </c>
    </row>
    <row r="162" spans="1:14" x14ac:dyDescent="0.35">
      <c r="A162">
        <v>160</v>
      </c>
      <c r="B162" t="s">
        <v>7</v>
      </c>
      <c r="C162" t="s">
        <v>40</v>
      </c>
      <c r="D162">
        <v>0.33333333333333331</v>
      </c>
      <c r="E162">
        <v>0.66666666666666674</v>
      </c>
      <c r="F162">
        <v>343.15</v>
      </c>
      <c r="G162">
        <v>378</v>
      </c>
      <c r="H162">
        <f t="shared" si="8"/>
        <v>-5.07</v>
      </c>
      <c r="I162">
        <v>6.2824201408011177E-3</v>
      </c>
      <c r="J162" t="str">
        <f t="shared" si="9"/>
        <v>C[N+](C)(C)CCO.[Cl-]C(CO)O</v>
      </c>
      <c r="K162">
        <v>81</v>
      </c>
      <c r="M162">
        <f t="shared" si="10"/>
        <v>2.4051880015772862</v>
      </c>
      <c r="N162">
        <f t="shared" si="11"/>
        <v>-0.40994899412525942</v>
      </c>
    </row>
    <row r="163" spans="1:14" x14ac:dyDescent="0.35">
      <c r="A163">
        <v>161</v>
      </c>
      <c r="B163" t="s">
        <v>7</v>
      </c>
      <c r="C163" t="s">
        <v>40</v>
      </c>
      <c r="D163">
        <v>0.33333333333333331</v>
      </c>
      <c r="E163">
        <v>0.66666666666666674</v>
      </c>
      <c r="F163">
        <v>343.15</v>
      </c>
      <c r="G163">
        <v>659</v>
      </c>
      <c r="H163">
        <f t="shared" si="8"/>
        <v>-4.5199999999999996</v>
      </c>
      <c r="I163">
        <v>1.0889023668554451E-2</v>
      </c>
      <c r="J163" t="str">
        <f t="shared" si="9"/>
        <v>C[N+](C)(C)CCO.[Cl-]C(CO)O</v>
      </c>
      <c r="K163">
        <v>81</v>
      </c>
      <c r="M163">
        <f t="shared" si="10"/>
        <v>2.4051880015772862</v>
      </c>
      <c r="N163">
        <f t="shared" si="11"/>
        <v>-0.2527897712354823</v>
      </c>
    </row>
    <row r="164" spans="1:14" x14ac:dyDescent="0.35">
      <c r="A164">
        <v>162</v>
      </c>
      <c r="B164" t="s">
        <v>7</v>
      </c>
      <c r="C164" t="s">
        <v>40</v>
      </c>
      <c r="D164">
        <v>0.33333333333333331</v>
      </c>
      <c r="E164">
        <v>0.66666666666666674</v>
      </c>
      <c r="F164">
        <v>343.15</v>
      </c>
      <c r="G164">
        <v>1113</v>
      </c>
      <c r="H164">
        <f t="shared" si="8"/>
        <v>-4.01</v>
      </c>
      <c r="I164">
        <v>1.8133395236801075E-2</v>
      </c>
      <c r="J164" t="str">
        <f t="shared" si="9"/>
        <v>C[N+](C)(C)CCO.[Cl-]C(CO)O</v>
      </c>
      <c r="K164">
        <v>81</v>
      </c>
      <c r="M164">
        <f t="shared" si="10"/>
        <v>2.4051880015772862</v>
      </c>
      <c r="N164">
        <f t="shared" si="11"/>
        <v>1.1258415472892188E-3</v>
      </c>
    </row>
    <row r="165" spans="1:14" x14ac:dyDescent="0.35">
      <c r="A165">
        <v>163</v>
      </c>
      <c r="B165" t="s">
        <v>7</v>
      </c>
      <c r="C165" t="s">
        <v>40</v>
      </c>
      <c r="D165">
        <v>0.33333333333333331</v>
      </c>
      <c r="E165">
        <v>0.66666666666666674</v>
      </c>
      <c r="F165">
        <v>343.15</v>
      </c>
      <c r="G165">
        <v>1960</v>
      </c>
      <c r="H165">
        <f t="shared" si="8"/>
        <v>-3.46</v>
      </c>
      <c r="I165">
        <v>3.142976201836771E-2</v>
      </c>
      <c r="J165" t="str">
        <f t="shared" si="9"/>
        <v>C[N+](C)(C)CCO.[Cl-]C(CO)O</v>
      </c>
      <c r="K165">
        <v>81</v>
      </c>
      <c r="M165">
        <f t="shared" si="10"/>
        <v>2.4051880015772862</v>
      </c>
      <c r="N165">
        <f t="shared" si="11"/>
        <v>0.47484065217946431</v>
      </c>
    </row>
    <row r="166" spans="1:14" x14ac:dyDescent="0.35">
      <c r="A166">
        <v>164</v>
      </c>
      <c r="B166" t="s">
        <v>7</v>
      </c>
      <c r="C166" t="s">
        <v>40</v>
      </c>
      <c r="D166">
        <v>0.33333333333333331</v>
      </c>
      <c r="E166">
        <v>0.66666666666666674</v>
      </c>
      <c r="F166">
        <v>343.15</v>
      </c>
      <c r="G166">
        <v>2862</v>
      </c>
      <c r="H166">
        <f t="shared" si="8"/>
        <v>-3.08</v>
      </c>
      <c r="I166">
        <v>4.5959256649044204E-2</v>
      </c>
      <c r="J166" t="str">
        <f t="shared" si="9"/>
        <v>C[N+](C)(C)CCO.[Cl-]C(CO)O</v>
      </c>
      <c r="K166">
        <v>81</v>
      </c>
      <c r="M166">
        <f t="shared" si="10"/>
        <v>2.4051880015772862</v>
      </c>
      <c r="N166">
        <f t="shared" si="11"/>
        <v>0.97931616480074168</v>
      </c>
    </row>
    <row r="167" spans="1:14" x14ac:dyDescent="0.35">
      <c r="A167">
        <v>165</v>
      </c>
      <c r="B167" t="s">
        <v>7</v>
      </c>
      <c r="C167" t="s">
        <v>40</v>
      </c>
      <c r="D167">
        <v>0.33333333333333331</v>
      </c>
      <c r="E167">
        <v>0.66666666666666674</v>
      </c>
      <c r="F167">
        <v>343.15</v>
      </c>
      <c r="G167">
        <v>4024</v>
      </c>
      <c r="H167">
        <f t="shared" si="8"/>
        <v>-2.74</v>
      </c>
      <c r="I167">
        <v>6.457034689316847E-2</v>
      </c>
      <c r="J167" t="str">
        <f t="shared" si="9"/>
        <v>C[N+](C)(C)CCO.[Cl-]C(CO)O</v>
      </c>
      <c r="K167">
        <v>81</v>
      </c>
      <c r="M167">
        <f t="shared" si="10"/>
        <v>2.4051880015772862</v>
      </c>
      <c r="N167">
        <f t="shared" si="11"/>
        <v>1.6292059050068661</v>
      </c>
    </row>
    <row r="168" spans="1:14" x14ac:dyDescent="0.35">
      <c r="A168">
        <v>166</v>
      </c>
      <c r="B168" t="s">
        <v>7</v>
      </c>
      <c r="C168" t="s">
        <v>40</v>
      </c>
      <c r="D168">
        <v>0.33333333333333331</v>
      </c>
      <c r="E168">
        <v>0.66666666666666674</v>
      </c>
      <c r="F168">
        <v>343.15</v>
      </c>
      <c r="G168">
        <v>5267</v>
      </c>
      <c r="H168">
        <f t="shared" si="8"/>
        <v>-2.48</v>
      </c>
      <c r="I168">
        <v>8.3743225592195963E-2</v>
      </c>
      <c r="J168" t="str">
        <f t="shared" si="9"/>
        <v>C[N+](C)(C)CCO.[Cl-]C(CO)O</v>
      </c>
      <c r="K168">
        <v>81</v>
      </c>
      <c r="M168">
        <f t="shared" si="10"/>
        <v>2.4051880015772862</v>
      </c>
      <c r="N168">
        <f t="shared" si="11"/>
        <v>2.3243977699605778</v>
      </c>
    </row>
    <row r="169" spans="1:14" x14ac:dyDescent="0.35">
      <c r="A169">
        <v>167</v>
      </c>
      <c r="B169" t="s">
        <v>7</v>
      </c>
      <c r="C169" t="s">
        <v>40</v>
      </c>
      <c r="D169">
        <v>0.33333333333333331</v>
      </c>
      <c r="E169">
        <v>0.66666666666666674</v>
      </c>
      <c r="F169">
        <v>343.15</v>
      </c>
      <c r="G169">
        <v>6323</v>
      </c>
      <c r="H169">
        <f t="shared" si="8"/>
        <v>-2.34</v>
      </c>
      <c r="I169">
        <v>9.6327638230493035E-2</v>
      </c>
      <c r="J169" t="str">
        <f t="shared" si="9"/>
        <v>C[N+](C)(C)CCO.[Cl-]C(CO)O</v>
      </c>
      <c r="K169">
        <v>81</v>
      </c>
      <c r="M169">
        <f t="shared" si="10"/>
        <v>2.4051880015772862</v>
      </c>
      <c r="N169">
        <f t="shared" si="11"/>
        <v>2.9150032481513413</v>
      </c>
    </row>
    <row r="170" spans="1:14" x14ac:dyDescent="0.35">
      <c r="A170">
        <v>168</v>
      </c>
      <c r="B170" t="s">
        <v>18</v>
      </c>
      <c r="C170" t="s">
        <v>44</v>
      </c>
      <c r="D170">
        <v>0.33333333333333331</v>
      </c>
      <c r="E170">
        <v>0.66666666666666674</v>
      </c>
      <c r="F170">
        <v>298.14999999999998</v>
      </c>
      <c r="G170">
        <v>90</v>
      </c>
      <c r="H170">
        <f t="shared" si="8"/>
        <v>-4.1733877695625532</v>
      </c>
      <c r="I170">
        <v>1.54E-2</v>
      </c>
      <c r="J170" t="str">
        <f t="shared" si="9"/>
        <v>CCCCCCCC[N+](CCCCCCCC)(CCCCCCCC)CCCCCCCC.[Br-]CCCCCCCCCC(=O)O</v>
      </c>
      <c r="K170">
        <v>22</v>
      </c>
      <c r="M170">
        <f t="shared" si="10"/>
        <v>-1.1215370428862177</v>
      </c>
      <c r="N170">
        <f t="shared" si="11"/>
        <v>-0.57102321545001322</v>
      </c>
    </row>
    <row r="171" spans="1:14" x14ac:dyDescent="0.35">
      <c r="A171">
        <v>169</v>
      </c>
      <c r="B171" t="s">
        <v>18</v>
      </c>
      <c r="C171" t="s">
        <v>44</v>
      </c>
      <c r="D171">
        <v>0.33333333333333331</v>
      </c>
      <c r="E171">
        <v>0.66666666666666674</v>
      </c>
      <c r="F171">
        <v>298.14999999999998</v>
      </c>
      <c r="G171">
        <v>190</v>
      </c>
      <c r="H171">
        <f t="shared" si="8"/>
        <v>-3.44</v>
      </c>
      <c r="I171">
        <v>3.2064685327860769E-2</v>
      </c>
      <c r="J171" t="str">
        <f t="shared" si="9"/>
        <v>CCCCCCCC[N+](CCCCCCCC)(CCCCCCCC)CCCCCCCC.[Br-]CCCCCCCCCC(=O)O</v>
      </c>
      <c r="K171">
        <v>22</v>
      </c>
      <c r="M171">
        <f t="shared" si="10"/>
        <v>-1.1215370428862177</v>
      </c>
      <c r="N171">
        <f t="shared" si="11"/>
        <v>-0.5150946663789181</v>
      </c>
    </row>
    <row r="172" spans="1:14" x14ac:dyDescent="0.35">
      <c r="A172">
        <v>170</v>
      </c>
      <c r="B172" t="s">
        <v>18</v>
      </c>
      <c r="C172" t="s">
        <v>44</v>
      </c>
      <c r="D172">
        <v>0.33333333333333331</v>
      </c>
      <c r="E172">
        <v>0.66666666666666674</v>
      </c>
      <c r="F172">
        <v>298.14999999999998</v>
      </c>
      <c r="G172">
        <v>290</v>
      </c>
      <c r="H172">
        <f t="shared" si="8"/>
        <v>-3.02</v>
      </c>
      <c r="I172">
        <v>4.8801218362012962E-2</v>
      </c>
      <c r="J172" t="str">
        <f t="shared" si="9"/>
        <v>CCCCCCCC[N+](CCCCCCCC)(CCCCCCCC)CCCCCCCC.[Br-]CCCCCCCCCC(=O)O</v>
      </c>
      <c r="K172">
        <v>22</v>
      </c>
      <c r="M172">
        <f t="shared" si="10"/>
        <v>-1.1215370428862177</v>
      </c>
      <c r="N172">
        <f t="shared" si="11"/>
        <v>-0.45916611730782309</v>
      </c>
    </row>
    <row r="173" spans="1:14" x14ac:dyDescent="0.35">
      <c r="A173">
        <v>171</v>
      </c>
      <c r="B173" t="s">
        <v>18</v>
      </c>
      <c r="C173" t="s">
        <v>44</v>
      </c>
      <c r="D173">
        <v>0.33333333333333331</v>
      </c>
      <c r="E173">
        <v>0.66666666666666674</v>
      </c>
      <c r="F173">
        <v>298.14999999999998</v>
      </c>
      <c r="G173">
        <v>390</v>
      </c>
      <c r="H173">
        <f t="shared" si="8"/>
        <v>-2.7426416458718292</v>
      </c>
      <c r="I173">
        <v>6.4399999999999999E-2</v>
      </c>
      <c r="J173" t="str">
        <f t="shared" si="9"/>
        <v>CCCCCCCC[N+](CCCCCCCC)(CCCCCCCC)CCCCCCCC.[Br-]CCCCCCCCCC(=O)O</v>
      </c>
      <c r="K173">
        <v>22</v>
      </c>
      <c r="M173">
        <f t="shared" si="10"/>
        <v>-1.1215370428862177</v>
      </c>
      <c r="N173">
        <f t="shared" si="11"/>
        <v>-0.40323756823672802</v>
      </c>
    </row>
    <row r="174" spans="1:14" x14ac:dyDescent="0.35">
      <c r="A174">
        <v>172</v>
      </c>
      <c r="B174" t="s">
        <v>18</v>
      </c>
      <c r="C174" t="s">
        <v>44</v>
      </c>
      <c r="D174">
        <v>0.33333333333333331</v>
      </c>
      <c r="E174">
        <v>0.66666666666666674</v>
      </c>
      <c r="F174">
        <v>298.14999999999998</v>
      </c>
      <c r="G174">
        <v>490</v>
      </c>
      <c r="H174">
        <f t="shared" si="8"/>
        <v>-2.54</v>
      </c>
      <c r="I174">
        <v>7.8866399790674946E-2</v>
      </c>
      <c r="J174" t="str">
        <f t="shared" si="9"/>
        <v>CCCCCCCC[N+](CCCCCCCC)(CCCCCCCC)CCCCCCCC.[Br-]CCCCCCCCCC(=O)O</v>
      </c>
      <c r="K174">
        <v>22</v>
      </c>
      <c r="M174">
        <f t="shared" si="10"/>
        <v>-1.1215370428862177</v>
      </c>
      <c r="N174">
        <f t="shared" si="11"/>
        <v>-0.34730901916563295</v>
      </c>
    </row>
    <row r="175" spans="1:14" x14ac:dyDescent="0.35">
      <c r="A175">
        <v>173</v>
      </c>
      <c r="B175" t="s">
        <v>18</v>
      </c>
      <c r="C175" t="s">
        <v>44</v>
      </c>
      <c r="D175">
        <v>0.33333333333333331</v>
      </c>
      <c r="E175">
        <v>0.66666666666666674</v>
      </c>
      <c r="F175">
        <v>298.14999999999998</v>
      </c>
      <c r="G175">
        <v>790</v>
      </c>
      <c r="H175">
        <f t="shared" si="8"/>
        <v>-2.077842820316139</v>
      </c>
      <c r="I175">
        <v>0.12520000000000001</v>
      </c>
      <c r="J175" t="str">
        <f t="shared" si="9"/>
        <v>CCCCCCCC[N+](CCCCCCCC)(CCCCCCCC)CCCCCCCC.[Br-]CCCCCCCCCC(=O)O</v>
      </c>
      <c r="K175">
        <v>22</v>
      </c>
      <c r="M175">
        <f t="shared" si="10"/>
        <v>-1.1215370428862177</v>
      </c>
      <c r="N175">
        <f t="shared" si="11"/>
        <v>-0.1795233719523478</v>
      </c>
    </row>
    <row r="176" spans="1:14" x14ac:dyDescent="0.35">
      <c r="A176">
        <v>174</v>
      </c>
      <c r="B176" t="s">
        <v>18</v>
      </c>
      <c r="C176" t="s">
        <v>44</v>
      </c>
      <c r="D176">
        <v>0.33333333333333331</v>
      </c>
      <c r="E176">
        <v>0.66666666666666674</v>
      </c>
      <c r="F176">
        <v>298.14999999999998</v>
      </c>
      <c r="G176">
        <v>990</v>
      </c>
      <c r="H176">
        <f t="shared" si="8"/>
        <v>-1.87</v>
      </c>
      <c r="I176">
        <v>0.1541236618151314</v>
      </c>
      <c r="J176" t="str">
        <f t="shared" si="9"/>
        <v>CCCCCCCC[N+](CCCCCCCC)(CCCCCCCC)CCCCCCCC.[Br-]CCCCCCCCCC(=O)O</v>
      </c>
      <c r="K176">
        <v>22</v>
      </c>
      <c r="M176">
        <f t="shared" si="10"/>
        <v>-1.1215370428862177</v>
      </c>
      <c r="N176">
        <f t="shared" si="11"/>
        <v>-6.766627381015769E-2</v>
      </c>
    </row>
    <row r="177" spans="1:14" x14ac:dyDescent="0.35">
      <c r="A177">
        <v>175</v>
      </c>
      <c r="B177" t="s">
        <v>18</v>
      </c>
      <c r="C177" t="s">
        <v>44</v>
      </c>
      <c r="D177">
        <v>0.33333333333333331</v>
      </c>
      <c r="E177">
        <v>0.66666666666666674</v>
      </c>
      <c r="F177">
        <v>298.14999999999998</v>
      </c>
      <c r="G177">
        <v>1490</v>
      </c>
      <c r="H177">
        <f t="shared" si="8"/>
        <v>-1.51</v>
      </c>
      <c r="I177">
        <v>0.2209099779593782</v>
      </c>
      <c r="J177" t="str">
        <f t="shared" si="9"/>
        <v>CCCCCCCC[N+](CCCCCCCC)(CCCCCCCC)CCCCCCCC.[Br-]CCCCCCCCCC(=O)O</v>
      </c>
      <c r="K177">
        <v>22</v>
      </c>
      <c r="M177">
        <f t="shared" si="10"/>
        <v>-1.1215370428862177</v>
      </c>
      <c r="N177">
        <f t="shared" si="11"/>
        <v>0.21197647154531757</v>
      </c>
    </row>
    <row r="178" spans="1:14" x14ac:dyDescent="0.35">
      <c r="A178">
        <v>176</v>
      </c>
      <c r="B178" t="s">
        <v>18</v>
      </c>
      <c r="C178" t="s">
        <v>44</v>
      </c>
      <c r="D178">
        <v>0.33333333333333331</v>
      </c>
      <c r="E178">
        <v>0.66666666666666674</v>
      </c>
      <c r="F178">
        <v>298.14999999999998</v>
      </c>
      <c r="G178">
        <v>1990</v>
      </c>
      <c r="H178">
        <f t="shared" si="8"/>
        <v>-1.2605431558143303</v>
      </c>
      <c r="I178">
        <v>0.28349999999999997</v>
      </c>
      <c r="J178" t="str">
        <f t="shared" si="9"/>
        <v>CCCCCCCC[N+](CCCCCCCC)(CCCCCCCC)CCCCCCCC.[Br-]CCCCCCCCCC(=O)O</v>
      </c>
      <c r="K178">
        <v>22</v>
      </c>
      <c r="M178">
        <f t="shared" si="10"/>
        <v>-1.1215370428862177</v>
      </c>
      <c r="N178">
        <f t="shared" si="11"/>
        <v>0.49161921690079285</v>
      </c>
    </row>
    <row r="179" spans="1:14" x14ac:dyDescent="0.35">
      <c r="A179">
        <v>177</v>
      </c>
      <c r="B179" t="s">
        <v>18</v>
      </c>
      <c r="C179" t="s">
        <v>44</v>
      </c>
      <c r="D179">
        <v>0.33333333333333331</v>
      </c>
      <c r="E179">
        <v>0.66666666666666674</v>
      </c>
      <c r="F179">
        <v>308.14999999999998</v>
      </c>
      <c r="G179">
        <v>90</v>
      </c>
      <c r="H179">
        <f t="shared" si="8"/>
        <v>-4.3</v>
      </c>
      <c r="I179">
        <v>1.3568559012200934E-2</v>
      </c>
      <c r="J179" t="str">
        <f t="shared" si="9"/>
        <v>CCCCCCCC[N+](CCCCCCCC)(CCCCCCCC)CCCCCCCC.[Br-]CCCCCCCCCC(=O)O</v>
      </c>
      <c r="K179">
        <v>22</v>
      </c>
      <c r="M179">
        <f t="shared" si="10"/>
        <v>-0.33782036633877249</v>
      </c>
      <c r="N179">
        <f t="shared" si="11"/>
        <v>-0.57102321545001322</v>
      </c>
    </row>
    <row r="180" spans="1:14" x14ac:dyDescent="0.35">
      <c r="A180">
        <v>178</v>
      </c>
      <c r="B180" t="s">
        <v>18</v>
      </c>
      <c r="C180" t="s">
        <v>44</v>
      </c>
      <c r="D180">
        <v>0.33333333333333331</v>
      </c>
      <c r="E180">
        <v>0.66666666666666674</v>
      </c>
      <c r="F180">
        <v>308.14999999999998</v>
      </c>
      <c r="G180">
        <v>190</v>
      </c>
      <c r="H180">
        <f t="shared" si="8"/>
        <v>-3.575550768806933</v>
      </c>
      <c r="I180">
        <v>2.8000000000000001E-2</v>
      </c>
      <c r="J180" t="str">
        <f t="shared" si="9"/>
        <v>CCCCCCCC[N+](CCCCCCCC)(CCCCCCCC)CCCCCCCC.[Br-]CCCCCCCCCC(=O)O</v>
      </c>
      <c r="K180">
        <v>22</v>
      </c>
      <c r="M180">
        <f t="shared" si="10"/>
        <v>-0.33782036633877249</v>
      </c>
      <c r="N180">
        <f t="shared" si="11"/>
        <v>-0.5150946663789181</v>
      </c>
    </row>
    <row r="181" spans="1:14" x14ac:dyDescent="0.35">
      <c r="A181">
        <v>179</v>
      </c>
      <c r="B181" t="s">
        <v>18</v>
      </c>
      <c r="C181" t="s">
        <v>44</v>
      </c>
      <c r="D181">
        <v>0.33333333333333331</v>
      </c>
      <c r="E181">
        <v>0.66666666666666674</v>
      </c>
      <c r="F181">
        <v>308.14999999999998</v>
      </c>
      <c r="G181">
        <v>290</v>
      </c>
      <c r="H181">
        <f t="shared" si="8"/>
        <v>-3.1724694520540448</v>
      </c>
      <c r="I181">
        <v>4.19E-2</v>
      </c>
      <c r="J181" t="str">
        <f t="shared" si="9"/>
        <v>CCCCCCCC[N+](CCCCCCCC)(CCCCCCCC)CCCCCCCC.[Br-]CCCCCCCCCC(=O)O</v>
      </c>
      <c r="K181">
        <v>22</v>
      </c>
      <c r="M181">
        <f t="shared" si="10"/>
        <v>-0.33782036633877249</v>
      </c>
      <c r="N181">
        <f t="shared" si="11"/>
        <v>-0.45916611730782309</v>
      </c>
    </row>
    <row r="182" spans="1:14" x14ac:dyDescent="0.35">
      <c r="A182">
        <v>180</v>
      </c>
      <c r="B182" t="s">
        <v>18</v>
      </c>
      <c r="C182" t="s">
        <v>44</v>
      </c>
      <c r="D182">
        <v>0.33333333333333331</v>
      </c>
      <c r="E182">
        <v>0.66666666666666674</v>
      </c>
      <c r="F182">
        <v>308.14999999999998</v>
      </c>
      <c r="G182">
        <v>390</v>
      </c>
      <c r="H182">
        <f t="shared" si="8"/>
        <v>-2.8841908988210836</v>
      </c>
      <c r="I182">
        <v>5.5899999999999998E-2</v>
      </c>
      <c r="J182" t="str">
        <f t="shared" si="9"/>
        <v>CCCCCCCC[N+](CCCCCCCC)(CCCCCCCC)CCCCCCCC.[Br-]CCCCCCCCCC(=O)O</v>
      </c>
      <c r="K182">
        <v>22</v>
      </c>
      <c r="M182">
        <f t="shared" si="10"/>
        <v>-0.33782036633877249</v>
      </c>
      <c r="N182">
        <f t="shared" si="11"/>
        <v>-0.40323756823672802</v>
      </c>
    </row>
    <row r="183" spans="1:14" x14ac:dyDescent="0.35">
      <c r="A183">
        <v>181</v>
      </c>
      <c r="B183" t="s">
        <v>18</v>
      </c>
      <c r="C183" t="s">
        <v>44</v>
      </c>
      <c r="D183">
        <v>0.33333333333333331</v>
      </c>
      <c r="E183">
        <v>0.66666666666666674</v>
      </c>
      <c r="F183">
        <v>308.14999999999998</v>
      </c>
      <c r="G183">
        <v>490</v>
      </c>
      <c r="H183">
        <f t="shared" si="8"/>
        <v>-2.667868411469378</v>
      </c>
      <c r="I183">
        <v>6.9400000000000003E-2</v>
      </c>
      <c r="J183" t="str">
        <f t="shared" si="9"/>
        <v>CCCCCCCC[N+](CCCCCCCC)(CCCCCCCC)CCCCCCCC.[Br-]CCCCCCCCCC(=O)O</v>
      </c>
      <c r="K183">
        <v>22</v>
      </c>
      <c r="M183">
        <f t="shared" si="10"/>
        <v>-0.33782036633877249</v>
      </c>
      <c r="N183">
        <f t="shared" si="11"/>
        <v>-0.34730901916563295</v>
      </c>
    </row>
    <row r="184" spans="1:14" x14ac:dyDescent="0.35">
      <c r="A184">
        <v>182</v>
      </c>
      <c r="B184" t="s">
        <v>18</v>
      </c>
      <c r="C184" t="s">
        <v>44</v>
      </c>
      <c r="D184">
        <v>0.33333333333333331</v>
      </c>
      <c r="E184">
        <v>0.66666666666666674</v>
      </c>
      <c r="F184">
        <v>308.14999999999998</v>
      </c>
      <c r="G184">
        <v>790</v>
      </c>
      <c r="H184">
        <f t="shared" si="8"/>
        <v>-2.2145742156713322</v>
      </c>
      <c r="I184">
        <v>0.10920000000000001</v>
      </c>
      <c r="J184" t="str">
        <f t="shared" si="9"/>
        <v>CCCCCCCC[N+](CCCCCCCC)(CCCCCCCC)CCCCCCCC.[Br-]CCCCCCCCCC(=O)O</v>
      </c>
      <c r="K184">
        <v>22</v>
      </c>
      <c r="M184">
        <f t="shared" si="10"/>
        <v>-0.33782036633877249</v>
      </c>
      <c r="N184">
        <f t="shared" si="11"/>
        <v>-0.1795233719523478</v>
      </c>
    </row>
    <row r="185" spans="1:14" x14ac:dyDescent="0.35">
      <c r="A185">
        <v>183</v>
      </c>
      <c r="B185" t="s">
        <v>18</v>
      </c>
      <c r="C185" t="s">
        <v>44</v>
      </c>
      <c r="D185">
        <v>0.33333333333333331</v>
      </c>
      <c r="E185">
        <v>0.66666666666666674</v>
      </c>
      <c r="F185">
        <v>308.14999999999998</v>
      </c>
      <c r="G185">
        <v>990</v>
      </c>
      <c r="H185">
        <f t="shared" si="8"/>
        <v>-2.0047051955658191</v>
      </c>
      <c r="I185">
        <v>0.13469999999999999</v>
      </c>
      <c r="J185" t="str">
        <f t="shared" si="9"/>
        <v>CCCCCCCC[N+](CCCCCCCC)(CCCCCCCC)CCCCCCCC.[Br-]CCCCCCCCCC(=O)O</v>
      </c>
      <c r="K185">
        <v>22</v>
      </c>
      <c r="M185">
        <f t="shared" si="10"/>
        <v>-0.33782036633877249</v>
      </c>
      <c r="N185">
        <f t="shared" si="11"/>
        <v>-6.766627381015769E-2</v>
      </c>
    </row>
    <row r="186" spans="1:14" x14ac:dyDescent="0.35">
      <c r="A186">
        <v>184</v>
      </c>
      <c r="B186" t="s">
        <v>18</v>
      </c>
      <c r="C186" t="s">
        <v>44</v>
      </c>
      <c r="D186">
        <v>0.33333333333333331</v>
      </c>
      <c r="E186">
        <v>0.66666666666666674</v>
      </c>
      <c r="F186">
        <v>308.14999999999998</v>
      </c>
      <c r="G186">
        <v>1490</v>
      </c>
      <c r="H186">
        <f t="shared" si="8"/>
        <v>-1.6393817888071724</v>
      </c>
      <c r="I186">
        <v>0.19409999999999999</v>
      </c>
      <c r="J186" t="str">
        <f t="shared" si="9"/>
        <v>CCCCCCCC[N+](CCCCCCCC)(CCCCCCCC)CCCCCCCC.[Br-]CCCCCCCCCC(=O)O</v>
      </c>
      <c r="K186">
        <v>22</v>
      </c>
      <c r="M186">
        <f t="shared" si="10"/>
        <v>-0.33782036633877249</v>
      </c>
      <c r="N186">
        <f t="shared" si="11"/>
        <v>0.21197647154531757</v>
      </c>
    </row>
    <row r="187" spans="1:14" x14ac:dyDescent="0.35">
      <c r="A187">
        <v>185</v>
      </c>
      <c r="B187" t="s">
        <v>18</v>
      </c>
      <c r="C187" t="s">
        <v>44</v>
      </c>
      <c r="D187">
        <v>0.33333333333333331</v>
      </c>
      <c r="E187">
        <v>0.66666666666666674</v>
      </c>
      <c r="F187">
        <v>308.14999999999998</v>
      </c>
      <c r="G187">
        <v>1990</v>
      </c>
      <c r="H187">
        <f t="shared" si="8"/>
        <v>-1.39</v>
      </c>
      <c r="I187">
        <v>0.24907530463166822</v>
      </c>
      <c r="J187" t="str">
        <f t="shared" si="9"/>
        <v>CCCCCCCC[N+](CCCCCCCC)(CCCCCCCC)CCCCCCCC.[Br-]CCCCCCCCCC(=O)O</v>
      </c>
      <c r="K187">
        <v>22</v>
      </c>
      <c r="M187">
        <f t="shared" si="10"/>
        <v>-0.33782036633877249</v>
      </c>
      <c r="N187">
        <f t="shared" si="11"/>
        <v>0.49161921690079285</v>
      </c>
    </row>
    <row r="188" spans="1:14" x14ac:dyDescent="0.35">
      <c r="A188">
        <v>186</v>
      </c>
      <c r="B188" t="s">
        <v>18</v>
      </c>
      <c r="C188" t="s">
        <v>44</v>
      </c>
      <c r="D188">
        <v>0.33333333333333331</v>
      </c>
      <c r="E188">
        <v>0.66666666666666674</v>
      </c>
      <c r="F188">
        <v>323.14999999999998</v>
      </c>
      <c r="G188">
        <v>90</v>
      </c>
      <c r="H188">
        <f t="shared" si="8"/>
        <v>-4.47</v>
      </c>
      <c r="I188">
        <v>1.1447315850505711E-2</v>
      </c>
      <c r="J188" t="str">
        <f t="shared" si="9"/>
        <v>CCCCCCCC[N+](CCCCCCCC)(CCCCCCCC)CCCCCCCC.[Br-]CCCCCCCCCC(=O)O</v>
      </c>
      <c r="K188">
        <v>22</v>
      </c>
      <c r="M188">
        <f t="shared" si="10"/>
        <v>0.83775464848239545</v>
      </c>
      <c r="N188">
        <f t="shared" si="11"/>
        <v>-0.57102321545001322</v>
      </c>
    </row>
    <row r="189" spans="1:14" x14ac:dyDescent="0.35">
      <c r="A189">
        <v>187</v>
      </c>
      <c r="B189" t="s">
        <v>18</v>
      </c>
      <c r="C189" t="s">
        <v>44</v>
      </c>
      <c r="D189">
        <v>0.33333333333333331</v>
      </c>
      <c r="E189">
        <v>0.66666666666666674</v>
      </c>
      <c r="F189">
        <v>323.14999999999998</v>
      </c>
      <c r="G189">
        <v>190</v>
      </c>
      <c r="H189">
        <f t="shared" si="8"/>
        <v>-3.7422802308410517</v>
      </c>
      <c r="I189">
        <v>2.3699999999999999E-2</v>
      </c>
      <c r="J189" t="str">
        <f t="shared" si="9"/>
        <v>CCCCCCCC[N+](CCCCCCCC)(CCCCCCCC)CCCCCCCC.[Br-]CCCCCCCCCC(=O)O</v>
      </c>
      <c r="K189">
        <v>22</v>
      </c>
      <c r="M189">
        <f t="shared" si="10"/>
        <v>0.83775464848239545</v>
      </c>
      <c r="N189">
        <f t="shared" si="11"/>
        <v>-0.5150946663789181</v>
      </c>
    </row>
    <row r="190" spans="1:14" x14ac:dyDescent="0.35">
      <c r="A190">
        <v>188</v>
      </c>
      <c r="B190" t="s">
        <v>18</v>
      </c>
      <c r="C190" t="s">
        <v>44</v>
      </c>
      <c r="D190">
        <v>0.33333333333333331</v>
      </c>
      <c r="E190">
        <v>0.66666666666666674</v>
      </c>
      <c r="F190">
        <v>323.14999999999998</v>
      </c>
      <c r="G190">
        <v>290</v>
      </c>
      <c r="H190">
        <f t="shared" si="8"/>
        <v>-3.3438723150428862</v>
      </c>
      <c r="I190">
        <v>3.5299999999999998E-2</v>
      </c>
      <c r="J190" t="str">
        <f t="shared" si="9"/>
        <v>CCCCCCCC[N+](CCCCCCCC)(CCCCCCCC)CCCCCCCC.[Br-]CCCCCCCCCC(=O)O</v>
      </c>
      <c r="K190">
        <v>22</v>
      </c>
      <c r="M190">
        <f t="shared" si="10"/>
        <v>0.83775464848239545</v>
      </c>
      <c r="N190">
        <f t="shared" si="11"/>
        <v>-0.45916611730782309</v>
      </c>
    </row>
    <row r="191" spans="1:14" x14ac:dyDescent="0.35">
      <c r="A191">
        <v>189</v>
      </c>
      <c r="B191" t="s">
        <v>18</v>
      </c>
      <c r="C191" t="s">
        <v>44</v>
      </c>
      <c r="D191">
        <v>0.33333333333333331</v>
      </c>
      <c r="E191">
        <v>0.66666666666666674</v>
      </c>
      <c r="F191">
        <v>323.14999999999998</v>
      </c>
      <c r="G191">
        <v>390</v>
      </c>
      <c r="H191">
        <f t="shared" si="8"/>
        <v>-3.0576076772720784</v>
      </c>
      <c r="I191">
        <v>4.7E-2</v>
      </c>
      <c r="J191" t="str">
        <f t="shared" si="9"/>
        <v>CCCCCCCC[N+](CCCCCCCC)(CCCCCCCC)CCCCCCCC.[Br-]CCCCCCCCCC(=O)O</v>
      </c>
      <c r="K191">
        <v>22</v>
      </c>
      <c r="M191">
        <f t="shared" si="10"/>
        <v>0.83775464848239545</v>
      </c>
      <c r="N191">
        <f t="shared" si="11"/>
        <v>-0.40323756823672802</v>
      </c>
    </row>
    <row r="192" spans="1:14" x14ac:dyDescent="0.35">
      <c r="A192">
        <v>190</v>
      </c>
      <c r="B192" t="s">
        <v>18</v>
      </c>
      <c r="C192" t="s">
        <v>44</v>
      </c>
      <c r="D192">
        <v>0.33333333333333331</v>
      </c>
      <c r="E192">
        <v>0.66666666666666674</v>
      </c>
      <c r="F192">
        <v>323.14999999999998</v>
      </c>
      <c r="G192">
        <v>490</v>
      </c>
      <c r="H192">
        <f t="shared" si="8"/>
        <v>-2.8387285247443264</v>
      </c>
      <c r="I192">
        <v>5.8500000000000003E-2</v>
      </c>
      <c r="J192" t="str">
        <f t="shared" si="9"/>
        <v>CCCCCCCC[N+](CCCCCCCC)(CCCCCCCC)CCCCCCCC.[Br-]CCCCCCCCCC(=O)O</v>
      </c>
      <c r="K192">
        <v>22</v>
      </c>
      <c r="M192">
        <f t="shared" si="10"/>
        <v>0.83775464848239545</v>
      </c>
      <c r="N192">
        <f t="shared" si="11"/>
        <v>-0.34730901916563295</v>
      </c>
    </row>
    <row r="193" spans="1:14" x14ac:dyDescent="0.35">
      <c r="A193">
        <v>191</v>
      </c>
      <c r="B193" t="s">
        <v>18</v>
      </c>
      <c r="C193" t="s">
        <v>44</v>
      </c>
      <c r="D193">
        <v>0.33333333333333331</v>
      </c>
      <c r="E193">
        <v>0.66666666666666674</v>
      </c>
      <c r="F193">
        <v>323.14999999999998</v>
      </c>
      <c r="G193">
        <v>790</v>
      </c>
      <c r="H193">
        <f t="shared" si="8"/>
        <v>-2.3859667019330968</v>
      </c>
      <c r="I193">
        <v>9.1999999999999998E-2</v>
      </c>
      <c r="J193" t="str">
        <f t="shared" si="9"/>
        <v>CCCCCCCC[N+](CCCCCCCC)(CCCCCCCC)CCCCCCCC.[Br-]CCCCCCCCCC(=O)O</v>
      </c>
      <c r="K193">
        <v>22</v>
      </c>
      <c r="M193">
        <f t="shared" si="10"/>
        <v>0.83775464848239545</v>
      </c>
      <c r="N193">
        <f t="shared" si="11"/>
        <v>-0.1795233719523478</v>
      </c>
    </row>
    <row r="194" spans="1:14" x14ac:dyDescent="0.35">
      <c r="A194">
        <v>192</v>
      </c>
      <c r="B194" t="s">
        <v>18</v>
      </c>
      <c r="C194" t="s">
        <v>44</v>
      </c>
      <c r="D194">
        <v>0.33333333333333331</v>
      </c>
      <c r="E194">
        <v>0.66666666666666674</v>
      </c>
      <c r="F194">
        <v>323.14999999999998</v>
      </c>
      <c r="G194">
        <v>990</v>
      </c>
      <c r="H194">
        <f t="shared" si="8"/>
        <v>-2.1759524420606797</v>
      </c>
      <c r="I194">
        <v>0.1135</v>
      </c>
      <c r="J194" t="str">
        <f t="shared" si="9"/>
        <v>CCCCCCCC[N+](CCCCCCCC)(CCCCCCCC)CCCCCCCC.[Br-]CCCCCCCCCC(=O)O</v>
      </c>
      <c r="K194">
        <v>22</v>
      </c>
      <c r="M194">
        <f t="shared" si="10"/>
        <v>0.83775464848239545</v>
      </c>
      <c r="N194">
        <f t="shared" si="11"/>
        <v>-6.766627381015769E-2</v>
      </c>
    </row>
    <row r="195" spans="1:14" x14ac:dyDescent="0.35">
      <c r="A195">
        <v>193</v>
      </c>
      <c r="B195" t="s">
        <v>18</v>
      </c>
      <c r="C195" t="s">
        <v>44</v>
      </c>
      <c r="D195">
        <v>0.33333333333333331</v>
      </c>
      <c r="E195">
        <v>0.66666666666666674</v>
      </c>
      <c r="F195">
        <v>323.14999999999998</v>
      </c>
      <c r="G195">
        <v>1490</v>
      </c>
      <c r="H195">
        <f t="shared" ref="H195:H258" si="12">LN(I195)</f>
        <v>-1.809109107563168</v>
      </c>
      <c r="I195">
        <v>0.1638</v>
      </c>
      <c r="J195" t="str">
        <f t="shared" ref="J195:J258" si="13">_xlfn.CONCAT(B195,C195)</f>
        <v>CCCCCCCC[N+](CCCCCCCC)(CCCCCCCC)CCCCCCCC.[Br-]CCCCCCCCCC(=O)O</v>
      </c>
      <c r="K195">
        <v>22</v>
      </c>
      <c r="M195">
        <f t="shared" ref="M195:M258" si="14">(F195-$L$3)/$L$2</f>
        <v>0.83775464848239545</v>
      </c>
      <c r="N195">
        <f t="shared" ref="N195:N258" si="15">(G195-$L$6)/$L$5</f>
        <v>0.21197647154531757</v>
      </c>
    </row>
    <row r="196" spans="1:14" x14ac:dyDescent="0.35">
      <c r="A196">
        <v>194</v>
      </c>
      <c r="B196" t="s">
        <v>18</v>
      </c>
      <c r="C196" t="s">
        <v>44</v>
      </c>
      <c r="D196">
        <v>0.33333333333333331</v>
      </c>
      <c r="E196">
        <v>0.66666666666666674</v>
      </c>
      <c r="F196">
        <v>323.14999999999998</v>
      </c>
      <c r="G196">
        <v>1990</v>
      </c>
      <c r="H196">
        <f t="shared" si="12"/>
        <v>-1.55</v>
      </c>
      <c r="I196">
        <v>0.21224797382674304</v>
      </c>
      <c r="J196" t="str">
        <f t="shared" si="13"/>
        <v>CCCCCCCC[N+](CCCCCCCC)(CCCCCCCC)CCCCCCCC.[Br-]CCCCCCCCCC(=O)O</v>
      </c>
      <c r="K196">
        <v>22</v>
      </c>
      <c r="M196">
        <f t="shared" si="14"/>
        <v>0.83775464848239545</v>
      </c>
      <c r="N196">
        <f t="shared" si="15"/>
        <v>0.49161921690079285</v>
      </c>
    </row>
    <row r="197" spans="1:14" x14ac:dyDescent="0.35">
      <c r="A197">
        <v>195</v>
      </c>
      <c r="B197" t="s">
        <v>19</v>
      </c>
      <c r="C197" t="s">
        <v>69</v>
      </c>
      <c r="D197">
        <v>0.33333333333333331</v>
      </c>
      <c r="E197">
        <v>0.66666666666666674</v>
      </c>
      <c r="F197">
        <v>298.14999999999998</v>
      </c>
      <c r="G197">
        <v>90</v>
      </c>
      <c r="H197">
        <f t="shared" si="12"/>
        <v>-4.1733877695625532</v>
      </c>
      <c r="I197">
        <v>1.54E-2</v>
      </c>
      <c r="J197" t="str">
        <f t="shared" si="13"/>
        <v>CCCCCCCC[N+](CCCCCCCC)(CCCCCCCC)CCCCCCCC.[Cl-]CCCCCCCCCC(=O)O</v>
      </c>
      <c r="K197">
        <v>23</v>
      </c>
      <c r="M197">
        <f t="shared" si="14"/>
        <v>-1.1215370428862177</v>
      </c>
      <c r="N197">
        <f t="shared" si="15"/>
        <v>-0.57102321545001322</v>
      </c>
    </row>
    <row r="198" spans="1:14" x14ac:dyDescent="0.35">
      <c r="A198">
        <v>196</v>
      </c>
      <c r="B198" t="s">
        <v>19</v>
      </c>
      <c r="C198" t="s">
        <v>69</v>
      </c>
      <c r="D198">
        <v>0.33333333333333331</v>
      </c>
      <c r="E198">
        <v>0.66666666666666674</v>
      </c>
      <c r="F198">
        <v>298.14999999999998</v>
      </c>
      <c r="G198">
        <v>190</v>
      </c>
      <c r="H198">
        <f t="shared" si="12"/>
        <v>-3.4545981583892704</v>
      </c>
      <c r="I198">
        <v>3.1600000000000003E-2</v>
      </c>
      <c r="J198" t="str">
        <f t="shared" si="13"/>
        <v>CCCCCCCC[N+](CCCCCCCC)(CCCCCCCC)CCCCCCCC.[Cl-]CCCCCCCCCC(=O)O</v>
      </c>
      <c r="K198">
        <v>23</v>
      </c>
      <c r="M198">
        <f t="shared" si="14"/>
        <v>-1.1215370428862177</v>
      </c>
      <c r="N198">
        <f t="shared" si="15"/>
        <v>-0.5150946663789181</v>
      </c>
    </row>
    <row r="199" spans="1:14" x14ac:dyDescent="0.35">
      <c r="A199">
        <v>197</v>
      </c>
      <c r="B199" t="s">
        <v>19</v>
      </c>
      <c r="C199" t="s">
        <v>69</v>
      </c>
      <c r="D199">
        <v>0.33333333333333331</v>
      </c>
      <c r="E199">
        <v>0.66666666666666674</v>
      </c>
      <c r="F199">
        <v>298.14999999999998</v>
      </c>
      <c r="G199">
        <v>290</v>
      </c>
      <c r="H199">
        <f t="shared" si="12"/>
        <v>-3.0261914810386994</v>
      </c>
      <c r="I199">
        <v>4.8500000000000001E-2</v>
      </c>
      <c r="J199" t="str">
        <f t="shared" si="13"/>
        <v>CCCCCCCC[N+](CCCCCCCC)(CCCCCCCC)CCCCCCCC.[Cl-]CCCCCCCCCC(=O)O</v>
      </c>
      <c r="K199">
        <v>23</v>
      </c>
      <c r="M199">
        <f t="shared" si="14"/>
        <v>-1.1215370428862177</v>
      </c>
      <c r="N199">
        <f t="shared" si="15"/>
        <v>-0.45916611730782309</v>
      </c>
    </row>
    <row r="200" spans="1:14" x14ac:dyDescent="0.35">
      <c r="A200">
        <v>198</v>
      </c>
      <c r="B200" t="s">
        <v>19</v>
      </c>
      <c r="C200" t="s">
        <v>69</v>
      </c>
      <c r="D200">
        <v>0.33333333333333331</v>
      </c>
      <c r="E200">
        <v>0.66666666666666674</v>
      </c>
      <c r="F200">
        <v>298.14999999999998</v>
      </c>
      <c r="G200">
        <v>390</v>
      </c>
      <c r="H200">
        <f t="shared" si="12"/>
        <v>-2.7410900551804103</v>
      </c>
      <c r="I200">
        <v>6.4500000000000002E-2</v>
      </c>
      <c r="J200" t="str">
        <f t="shared" si="13"/>
        <v>CCCCCCCC[N+](CCCCCCCC)(CCCCCCCC)CCCCCCCC.[Cl-]CCCCCCCCCC(=O)O</v>
      </c>
      <c r="K200">
        <v>23</v>
      </c>
      <c r="M200">
        <f t="shared" si="14"/>
        <v>-1.1215370428862177</v>
      </c>
      <c r="N200">
        <f t="shared" si="15"/>
        <v>-0.40323756823672802</v>
      </c>
    </row>
    <row r="201" spans="1:14" x14ac:dyDescent="0.35">
      <c r="A201">
        <v>199</v>
      </c>
      <c r="B201" t="s">
        <v>19</v>
      </c>
      <c r="C201" t="s">
        <v>69</v>
      </c>
      <c r="D201">
        <v>0.33333333333333331</v>
      </c>
      <c r="E201">
        <v>0.66666666666666674</v>
      </c>
      <c r="F201">
        <v>298.14999999999998</v>
      </c>
      <c r="G201">
        <v>490</v>
      </c>
      <c r="H201">
        <f t="shared" si="12"/>
        <v>-2.5299999999999998</v>
      </c>
      <c r="I201">
        <v>7.9659020285898038E-2</v>
      </c>
      <c r="J201" t="str">
        <f t="shared" si="13"/>
        <v>CCCCCCCC[N+](CCCCCCCC)(CCCCCCCC)CCCCCCCC.[Cl-]CCCCCCCCCC(=O)O</v>
      </c>
      <c r="K201">
        <v>23</v>
      </c>
      <c r="M201">
        <f t="shared" si="14"/>
        <v>-1.1215370428862177</v>
      </c>
      <c r="N201">
        <f t="shared" si="15"/>
        <v>-0.34730901916563295</v>
      </c>
    </row>
    <row r="202" spans="1:14" x14ac:dyDescent="0.35">
      <c r="A202">
        <v>200</v>
      </c>
      <c r="B202" t="s">
        <v>19</v>
      </c>
      <c r="C202" t="s">
        <v>69</v>
      </c>
      <c r="D202">
        <v>0.33333333333333331</v>
      </c>
      <c r="E202">
        <v>0.66666666666666674</v>
      </c>
      <c r="F202">
        <v>298.14999999999998</v>
      </c>
      <c r="G202">
        <v>690</v>
      </c>
      <c r="H202">
        <f t="shared" si="12"/>
        <v>-2.1982250776698029</v>
      </c>
      <c r="I202">
        <v>0.111</v>
      </c>
      <c r="J202" t="str">
        <f t="shared" si="13"/>
        <v>CCCCCCCC[N+](CCCCCCCC)(CCCCCCCC)CCCCCCCC.[Cl-]CCCCCCCCCC(=O)O</v>
      </c>
      <c r="K202">
        <v>23</v>
      </c>
      <c r="M202">
        <f t="shared" si="14"/>
        <v>-1.1215370428862177</v>
      </c>
      <c r="N202">
        <f t="shared" si="15"/>
        <v>-0.23545192102344284</v>
      </c>
    </row>
    <row r="203" spans="1:14" x14ac:dyDescent="0.35">
      <c r="A203">
        <v>201</v>
      </c>
      <c r="B203" t="s">
        <v>19</v>
      </c>
      <c r="C203" t="s">
        <v>69</v>
      </c>
      <c r="D203">
        <v>0.33333333333333331</v>
      </c>
      <c r="E203">
        <v>0.66666666666666674</v>
      </c>
      <c r="F203">
        <v>298.14999999999998</v>
      </c>
      <c r="G203">
        <v>790</v>
      </c>
      <c r="H203">
        <f t="shared" si="12"/>
        <v>-2.0754495204102983</v>
      </c>
      <c r="I203">
        <v>0.1255</v>
      </c>
      <c r="J203" t="str">
        <f t="shared" si="13"/>
        <v>CCCCCCCC[N+](CCCCCCCC)(CCCCCCCC)CCCCCCCC.[Cl-]CCCCCCCCCC(=O)O</v>
      </c>
      <c r="K203">
        <v>23</v>
      </c>
      <c r="M203">
        <f t="shared" si="14"/>
        <v>-1.1215370428862177</v>
      </c>
      <c r="N203">
        <f t="shared" si="15"/>
        <v>-0.1795233719523478</v>
      </c>
    </row>
    <row r="204" spans="1:14" x14ac:dyDescent="0.35">
      <c r="A204">
        <v>202</v>
      </c>
      <c r="B204" t="s">
        <v>19</v>
      </c>
      <c r="C204" t="s">
        <v>69</v>
      </c>
      <c r="D204">
        <v>0.33333333333333331</v>
      </c>
      <c r="E204">
        <v>0.66666666666666674</v>
      </c>
      <c r="F204">
        <v>298.14999999999998</v>
      </c>
      <c r="G204">
        <v>990</v>
      </c>
      <c r="H204">
        <f t="shared" si="12"/>
        <v>-1.8662675214031166</v>
      </c>
      <c r="I204">
        <v>0.1547</v>
      </c>
      <c r="J204" t="str">
        <f t="shared" si="13"/>
        <v>CCCCCCCC[N+](CCCCCCCC)(CCCCCCCC)CCCCCCCC.[Cl-]CCCCCCCCCC(=O)O</v>
      </c>
      <c r="K204">
        <v>23</v>
      </c>
      <c r="M204">
        <f t="shared" si="14"/>
        <v>-1.1215370428862177</v>
      </c>
      <c r="N204">
        <f t="shared" si="15"/>
        <v>-6.766627381015769E-2</v>
      </c>
    </row>
    <row r="205" spans="1:14" x14ac:dyDescent="0.35">
      <c r="A205">
        <v>203</v>
      </c>
      <c r="B205" t="s">
        <v>19</v>
      </c>
      <c r="C205" t="s">
        <v>69</v>
      </c>
      <c r="D205">
        <v>0.33333333333333331</v>
      </c>
      <c r="E205">
        <v>0.66666666666666674</v>
      </c>
      <c r="F205">
        <v>298.14999999999998</v>
      </c>
      <c r="G205">
        <v>1190</v>
      </c>
      <c r="H205">
        <f t="shared" si="12"/>
        <v>-1.7026502941562791</v>
      </c>
      <c r="I205">
        <v>0.1822</v>
      </c>
      <c r="J205" t="str">
        <f t="shared" si="13"/>
        <v>CCCCCCCC[N+](CCCCCCCC)(CCCCCCCC)CCCCCCCC.[Cl-]CCCCCCCCCC(=O)O</v>
      </c>
      <c r="K205">
        <v>23</v>
      </c>
      <c r="M205">
        <f t="shared" si="14"/>
        <v>-1.1215370428862177</v>
      </c>
      <c r="N205">
        <f t="shared" si="15"/>
        <v>4.4190824332032412E-2</v>
      </c>
    </row>
    <row r="206" spans="1:14" x14ac:dyDescent="0.35">
      <c r="A206">
        <v>204</v>
      </c>
      <c r="B206" t="s">
        <v>19</v>
      </c>
      <c r="C206" t="s">
        <v>69</v>
      </c>
      <c r="D206">
        <v>0.33333333333333331</v>
      </c>
      <c r="E206">
        <v>0.66666666666666674</v>
      </c>
      <c r="F206">
        <v>298.14999999999998</v>
      </c>
      <c r="G206">
        <v>1490</v>
      </c>
      <c r="H206">
        <f t="shared" si="12"/>
        <v>-1.5037274580119862</v>
      </c>
      <c r="I206">
        <v>0.2223</v>
      </c>
      <c r="J206" t="str">
        <f t="shared" si="13"/>
        <v>CCCCCCCC[N+](CCCCCCCC)(CCCCCCCC)CCCCCCCC.[Cl-]CCCCCCCCCC(=O)O</v>
      </c>
      <c r="K206">
        <v>23</v>
      </c>
      <c r="M206">
        <f t="shared" si="14"/>
        <v>-1.1215370428862177</v>
      </c>
      <c r="N206">
        <f t="shared" si="15"/>
        <v>0.21197647154531757</v>
      </c>
    </row>
    <row r="207" spans="1:14" x14ac:dyDescent="0.35">
      <c r="A207">
        <v>205</v>
      </c>
      <c r="B207" t="s">
        <v>19</v>
      </c>
      <c r="C207" t="s">
        <v>69</v>
      </c>
      <c r="D207">
        <v>0.33333333333333331</v>
      </c>
      <c r="E207">
        <v>0.66666666666666674</v>
      </c>
      <c r="F207">
        <v>298.14999999999998</v>
      </c>
      <c r="G207">
        <v>1790</v>
      </c>
      <c r="H207">
        <f t="shared" si="12"/>
        <v>-1.3447686142913924</v>
      </c>
      <c r="I207">
        <v>0.2606</v>
      </c>
      <c r="J207" t="str">
        <f t="shared" si="13"/>
        <v>CCCCCCCC[N+](CCCCCCCC)(CCCCCCCC)CCCCCCCC.[Cl-]CCCCCCCCCC(=O)O</v>
      </c>
      <c r="K207">
        <v>23</v>
      </c>
      <c r="M207">
        <f t="shared" si="14"/>
        <v>-1.1215370428862177</v>
      </c>
      <c r="N207">
        <f t="shared" si="15"/>
        <v>0.37976211875860272</v>
      </c>
    </row>
    <row r="208" spans="1:14" x14ac:dyDescent="0.35">
      <c r="A208">
        <v>206</v>
      </c>
      <c r="B208" t="s">
        <v>19</v>
      </c>
      <c r="C208" t="s">
        <v>69</v>
      </c>
      <c r="D208">
        <v>0.33333333333333331</v>
      </c>
      <c r="E208">
        <v>0.66666666666666674</v>
      </c>
      <c r="F208">
        <v>298.14999999999998</v>
      </c>
      <c r="G208">
        <v>1990</v>
      </c>
      <c r="H208">
        <f t="shared" si="12"/>
        <v>-1.2577252603251829</v>
      </c>
      <c r="I208">
        <v>0.2843</v>
      </c>
      <c r="J208" t="str">
        <f t="shared" si="13"/>
        <v>CCCCCCCC[N+](CCCCCCCC)(CCCCCCCC)CCCCCCCC.[Cl-]CCCCCCCCCC(=O)O</v>
      </c>
      <c r="K208">
        <v>23</v>
      </c>
      <c r="M208">
        <f t="shared" si="14"/>
        <v>-1.1215370428862177</v>
      </c>
      <c r="N208">
        <f t="shared" si="15"/>
        <v>0.49161921690079285</v>
      </c>
    </row>
    <row r="209" spans="1:14" x14ac:dyDescent="0.35">
      <c r="A209">
        <v>207</v>
      </c>
      <c r="B209" t="s">
        <v>19</v>
      </c>
      <c r="C209" t="s">
        <v>69</v>
      </c>
      <c r="D209">
        <v>0.33333333333333331</v>
      </c>
      <c r="E209">
        <v>0.66666666666666674</v>
      </c>
      <c r="F209">
        <v>308.14999999999998</v>
      </c>
      <c r="G209">
        <v>90</v>
      </c>
      <c r="H209">
        <f t="shared" si="12"/>
        <v>-4.2758664388454912</v>
      </c>
      <c r="I209">
        <v>1.3899999999999999E-2</v>
      </c>
      <c r="J209" t="str">
        <f t="shared" si="13"/>
        <v>CCCCCCCC[N+](CCCCCCCC)(CCCCCCCC)CCCCCCCC.[Cl-]CCCCCCCCCC(=O)O</v>
      </c>
      <c r="K209">
        <v>23</v>
      </c>
      <c r="M209">
        <f t="shared" si="14"/>
        <v>-0.33782036633877249</v>
      </c>
      <c r="N209">
        <f t="shared" si="15"/>
        <v>-0.57102321545001322</v>
      </c>
    </row>
    <row r="210" spans="1:14" x14ac:dyDescent="0.35">
      <c r="A210">
        <v>208</v>
      </c>
      <c r="B210" t="s">
        <v>19</v>
      </c>
      <c r="C210" t="s">
        <v>69</v>
      </c>
      <c r="D210">
        <v>0.33333333333333331</v>
      </c>
      <c r="E210">
        <v>0.66666666666666674</v>
      </c>
      <c r="F210">
        <v>308.14999999999998</v>
      </c>
      <c r="G210">
        <v>190</v>
      </c>
      <c r="H210">
        <f t="shared" si="12"/>
        <v>-3.5719857026424369</v>
      </c>
      <c r="I210">
        <v>2.81E-2</v>
      </c>
      <c r="J210" t="str">
        <f t="shared" si="13"/>
        <v>CCCCCCCC[N+](CCCCCCCC)(CCCCCCCC)CCCCCCCC.[Cl-]CCCCCCCCCC(=O)O</v>
      </c>
      <c r="K210">
        <v>23</v>
      </c>
      <c r="M210">
        <f t="shared" si="14"/>
        <v>-0.33782036633877249</v>
      </c>
      <c r="N210">
        <f t="shared" si="15"/>
        <v>-0.5150946663789181</v>
      </c>
    </row>
    <row r="211" spans="1:14" x14ac:dyDescent="0.35">
      <c r="A211">
        <v>209</v>
      </c>
      <c r="B211" t="s">
        <v>19</v>
      </c>
      <c r="C211" t="s">
        <v>69</v>
      </c>
      <c r="D211">
        <v>0.33333333333333331</v>
      </c>
      <c r="E211">
        <v>0.66666666666666674</v>
      </c>
      <c r="F211">
        <v>308.14999999999998</v>
      </c>
      <c r="G211">
        <v>290</v>
      </c>
      <c r="H211">
        <f t="shared" si="12"/>
        <v>-3.1653350579401711</v>
      </c>
      <c r="I211">
        <v>4.2200000000000001E-2</v>
      </c>
      <c r="J211" t="str">
        <f t="shared" si="13"/>
        <v>CCCCCCCC[N+](CCCCCCCC)(CCCCCCCC)CCCCCCCC.[Cl-]CCCCCCCCCC(=O)O</v>
      </c>
      <c r="K211">
        <v>23</v>
      </c>
      <c r="M211">
        <f t="shared" si="14"/>
        <v>-0.33782036633877249</v>
      </c>
      <c r="N211">
        <f t="shared" si="15"/>
        <v>-0.45916611730782309</v>
      </c>
    </row>
    <row r="212" spans="1:14" x14ac:dyDescent="0.35">
      <c r="A212">
        <v>210</v>
      </c>
      <c r="B212" t="s">
        <v>19</v>
      </c>
      <c r="C212" t="s">
        <v>69</v>
      </c>
      <c r="D212">
        <v>0.33333333333333331</v>
      </c>
      <c r="E212">
        <v>0.66666666666666674</v>
      </c>
      <c r="F212">
        <v>308.14999999999998</v>
      </c>
      <c r="G212">
        <v>390</v>
      </c>
      <c r="H212">
        <f t="shared" si="12"/>
        <v>-2.861201380596385</v>
      </c>
      <c r="I212">
        <v>5.7200000000000001E-2</v>
      </c>
      <c r="J212" t="str">
        <f t="shared" si="13"/>
        <v>CCCCCCCC[N+](CCCCCCCC)(CCCCCCCC)CCCCCCCC.[Cl-]CCCCCCCCCC(=O)O</v>
      </c>
      <c r="K212">
        <v>23</v>
      </c>
      <c r="M212">
        <f t="shared" si="14"/>
        <v>-0.33782036633877249</v>
      </c>
      <c r="N212">
        <f t="shared" si="15"/>
        <v>-0.40323756823672802</v>
      </c>
    </row>
    <row r="213" spans="1:14" x14ac:dyDescent="0.35">
      <c r="A213">
        <v>211</v>
      </c>
      <c r="B213" t="s">
        <v>19</v>
      </c>
      <c r="C213" t="s">
        <v>69</v>
      </c>
      <c r="D213">
        <v>0.33333333333333331</v>
      </c>
      <c r="E213">
        <v>0.66666666666666674</v>
      </c>
      <c r="F213">
        <v>308.14999999999998</v>
      </c>
      <c r="G213">
        <v>490</v>
      </c>
      <c r="H213">
        <f t="shared" si="12"/>
        <v>-2.6450754019408218</v>
      </c>
      <c r="I213">
        <v>7.0999999999999994E-2</v>
      </c>
      <c r="J213" t="str">
        <f t="shared" si="13"/>
        <v>CCCCCCCC[N+](CCCCCCCC)(CCCCCCCC)CCCCCCCC.[Cl-]CCCCCCCCCC(=O)O</v>
      </c>
      <c r="K213">
        <v>23</v>
      </c>
      <c r="M213">
        <f t="shared" si="14"/>
        <v>-0.33782036633877249</v>
      </c>
      <c r="N213">
        <f t="shared" si="15"/>
        <v>-0.34730901916563295</v>
      </c>
    </row>
    <row r="214" spans="1:14" x14ac:dyDescent="0.35">
      <c r="A214">
        <v>212</v>
      </c>
      <c r="B214" t="s">
        <v>19</v>
      </c>
      <c r="C214" t="s">
        <v>69</v>
      </c>
      <c r="D214">
        <v>0.33333333333333331</v>
      </c>
      <c r="E214">
        <v>0.66666666666666674</v>
      </c>
      <c r="F214">
        <v>308.14999999999998</v>
      </c>
      <c r="G214">
        <v>690</v>
      </c>
      <c r="H214">
        <f t="shared" si="12"/>
        <v>-2.3351082846996056</v>
      </c>
      <c r="I214">
        <v>9.6799999999999997E-2</v>
      </c>
      <c r="J214" t="str">
        <f t="shared" si="13"/>
        <v>CCCCCCCC[N+](CCCCCCCC)(CCCCCCCC)CCCCCCCC.[Cl-]CCCCCCCCCC(=O)O</v>
      </c>
      <c r="K214">
        <v>23</v>
      </c>
      <c r="M214">
        <f t="shared" si="14"/>
        <v>-0.33782036633877249</v>
      </c>
      <c r="N214">
        <f t="shared" si="15"/>
        <v>-0.23545192102344284</v>
      </c>
    </row>
    <row r="215" spans="1:14" x14ac:dyDescent="0.35">
      <c r="A215">
        <v>213</v>
      </c>
      <c r="B215" t="s">
        <v>19</v>
      </c>
      <c r="C215" t="s">
        <v>69</v>
      </c>
      <c r="D215">
        <v>0.33333333333333331</v>
      </c>
      <c r="E215">
        <v>0.66666666666666674</v>
      </c>
      <c r="F215">
        <v>308.14999999999998</v>
      </c>
      <c r="G215">
        <v>790</v>
      </c>
      <c r="H215">
        <f t="shared" si="12"/>
        <v>-2.2027397580243298</v>
      </c>
      <c r="I215">
        <v>0.1105</v>
      </c>
      <c r="J215" t="str">
        <f t="shared" si="13"/>
        <v>CCCCCCCC[N+](CCCCCCCC)(CCCCCCCC)CCCCCCCC.[Cl-]CCCCCCCCCC(=O)O</v>
      </c>
      <c r="K215">
        <v>23</v>
      </c>
      <c r="M215">
        <f t="shared" si="14"/>
        <v>-0.33782036633877249</v>
      </c>
      <c r="N215">
        <f t="shared" si="15"/>
        <v>-0.1795233719523478</v>
      </c>
    </row>
    <row r="216" spans="1:14" x14ac:dyDescent="0.35">
      <c r="A216">
        <v>214</v>
      </c>
      <c r="B216" t="s">
        <v>19</v>
      </c>
      <c r="C216" t="s">
        <v>69</v>
      </c>
      <c r="D216">
        <v>0.33333333333333331</v>
      </c>
      <c r="E216">
        <v>0.66666666666666674</v>
      </c>
      <c r="F216">
        <v>308.14999999999998</v>
      </c>
      <c r="G216">
        <v>990</v>
      </c>
      <c r="H216">
        <f t="shared" si="12"/>
        <v>-1.9987836386623814</v>
      </c>
      <c r="I216">
        <v>0.13550000000000001</v>
      </c>
      <c r="J216" t="str">
        <f t="shared" si="13"/>
        <v>CCCCCCCC[N+](CCCCCCCC)(CCCCCCCC)CCCCCCCC.[Cl-]CCCCCCCCCC(=O)O</v>
      </c>
      <c r="K216">
        <v>23</v>
      </c>
      <c r="M216">
        <f t="shared" si="14"/>
        <v>-0.33782036633877249</v>
      </c>
      <c r="N216">
        <f t="shared" si="15"/>
        <v>-6.766627381015769E-2</v>
      </c>
    </row>
    <row r="217" spans="1:14" x14ac:dyDescent="0.35">
      <c r="A217">
        <v>215</v>
      </c>
      <c r="B217" t="s">
        <v>19</v>
      </c>
      <c r="C217" t="s">
        <v>69</v>
      </c>
      <c r="D217">
        <v>0.33333333333333331</v>
      </c>
      <c r="E217">
        <v>0.66666666666666674</v>
      </c>
      <c r="F217">
        <v>308.14999999999998</v>
      </c>
      <c r="G217">
        <v>1190</v>
      </c>
      <c r="H217">
        <f t="shared" si="12"/>
        <v>-1.8294613364120664</v>
      </c>
      <c r="I217">
        <v>0.1605</v>
      </c>
      <c r="J217" t="str">
        <f t="shared" si="13"/>
        <v>CCCCCCCC[N+](CCCCCCCC)(CCCCCCCC)CCCCCCCC.[Cl-]CCCCCCCCCC(=O)O</v>
      </c>
      <c r="K217">
        <v>23</v>
      </c>
      <c r="M217">
        <f t="shared" si="14"/>
        <v>-0.33782036633877249</v>
      </c>
      <c r="N217">
        <f t="shared" si="15"/>
        <v>4.4190824332032412E-2</v>
      </c>
    </row>
    <row r="218" spans="1:14" x14ac:dyDescent="0.35">
      <c r="A218">
        <v>216</v>
      </c>
      <c r="B218" t="s">
        <v>19</v>
      </c>
      <c r="C218" t="s">
        <v>69</v>
      </c>
      <c r="D218">
        <v>0.33333333333333331</v>
      </c>
      <c r="E218">
        <v>0.66666666666666674</v>
      </c>
      <c r="F218">
        <v>308.14999999999998</v>
      </c>
      <c r="G218">
        <v>1490</v>
      </c>
      <c r="H218">
        <f t="shared" si="12"/>
        <v>-1.6296406197516198</v>
      </c>
      <c r="I218">
        <v>0.19600000000000001</v>
      </c>
      <c r="J218" t="str">
        <f t="shared" si="13"/>
        <v>CCCCCCCC[N+](CCCCCCCC)(CCCCCCCC)CCCCCCCC.[Cl-]CCCCCCCCCC(=O)O</v>
      </c>
      <c r="K218">
        <v>23</v>
      </c>
      <c r="M218">
        <f t="shared" si="14"/>
        <v>-0.33782036633877249</v>
      </c>
      <c r="N218">
        <f t="shared" si="15"/>
        <v>0.21197647154531757</v>
      </c>
    </row>
    <row r="219" spans="1:14" x14ac:dyDescent="0.35">
      <c r="A219">
        <v>217</v>
      </c>
      <c r="B219" t="s">
        <v>19</v>
      </c>
      <c r="C219" t="s">
        <v>69</v>
      </c>
      <c r="D219">
        <v>0.33333333333333331</v>
      </c>
      <c r="E219">
        <v>0.66666666666666674</v>
      </c>
      <c r="F219">
        <v>308.14999999999998</v>
      </c>
      <c r="G219">
        <v>1790</v>
      </c>
      <c r="H219">
        <f t="shared" si="12"/>
        <v>-1.4740332754278973</v>
      </c>
      <c r="I219">
        <v>0.22900000000000001</v>
      </c>
      <c r="J219" t="str">
        <f t="shared" si="13"/>
        <v>CCCCCCCC[N+](CCCCCCCC)(CCCCCCCC)CCCCCCCC.[Cl-]CCCCCCCCCC(=O)O</v>
      </c>
      <c r="K219">
        <v>23</v>
      </c>
      <c r="M219">
        <f t="shared" si="14"/>
        <v>-0.33782036633877249</v>
      </c>
      <c r="N219">
        <f t="shared" si="15"/>
        <v>0.37976211875860272</v>
      </c>
    </row>
    <row r="220" spans="1:14" x14ac:dyDescent="0.35">
      <c r="A220">
        <v>218</v>
      </c>
      <c r="B220" t="s">
        <v>19</v>
      </c>
      <c r="C220" t="s">
        <v>69</v>
      </c>
      <c r="D220">
        <v>0.33333333333333331</v>
      </c>
      <c r="E220">
        <v>0.66666666666666674</v>
      </c>
      <c r="F220">
        <v>308.14999999999998</v>
      </c>
      <c r="G220">
        <v>1990</v>
      </c>
      <c r="H220">
        <f t="shared" si="12"/>
        <v>-1.3823023398503531</v>
      </c>
      <c r="I220">
        <v>0.251</v>
      </c>
      <c r="J220" t="str">
        <f t="shared" si="13"/>
        <v>CCCCCCCC[N+](CCCCCCCC)(CCCCCCCC)CCCCCCCC.[Cl-]CCCCCCCCCC(=O)O</v>
      </c>
      <c r="K220">
        <v>23</v>
      </c>
      <c r="M220">
        <f t="shared" si="14"/>
        <v>-0.33782036633877249</v>
      </c>
      <c r="N220">
        <f t="shared" si="15"/>
        <v>0.49161921690079285</v>
      </c>
    </row>
    <row r="221" spans="1:14" x14ac:dyDescent="0.35">
      <c r="A221">
        <v>219</v>
      </c>
      <c r="B221" t="s">
        <v>2</v>
      </c>
      <c r="C221" t="s">
        <v>68</v>
      </c>
      <c r="D221">
        <v>0.33333333333333331</v>
      </c>
      <c r="E221">
        <v>0.66666666666666674</v>
      </c>
      <c r="F221">
        <v>303.14999999999998</v>
      </c>
      <c r="G221">
        <v>26.6</v>
      </c>
      <c r="H221">
        <f t="shared" si="12"/>
        <v>-6.27</v>
      </c>
      <c r="I221">
        <v>1.8922285832099397E-3</v>
      </c>
      <c r="J221" t="str">
        <f t="shared" si="13"/>
        <v>CC(=O)OCC[N+](C)(C)C.[Cl-]C1=CN=CN1</v>
      </c>
      <c r="K221">
        <v>11</v>
      </c>
      <c r="M221">
        <f t="shared" si="14"/>
        <v>-0.72967870461249518</v>
      </c>
      <c r="N221">
        <f t="shared" si="15"/>
        <v>-0.60648191556108744</v>
      </c>
    </row>
    <row r="222" spans="1:14" x14ac:dyDescent="0.35">
      <c r="A222">
        <v>220</v>
      </c>
      <c r="B222" t="s">
        <v>2</v>
      </c>
      <c r="C222" t="s">
        <v>68</v>
      </c>
      <c r="D222">
        <v>0.33333333333333331</v>
      </c>
      <c r="E222">
        <v>0.66666666666666674</v>
      </c>
      <c r="F222">
        <v>303.14999999999998</v>
      </c>
      <c r="G222">
        <v>57.2</v>
      </c>
      <c r="H222">
        <f t="shared" si="12"/>
        <v>-5.68</v>
      </c>
      <c r="I222">
        <v>3.4135584433954303E-3</v>
      </c>
      <c r="J222" t="str">
        <f t="shared" si="13"/>
        <v>CC(=O)OCC[N+](C)(C)C.[Cl-]C1=CN=CN1</v>
      </c>
      <c r="K222">
        <v>11</v>
      </c>
      <c r="M222">
        <f t="shared" si="14"/>
        <v>-0.72967870461249518</v>
      </c>
      <c r="N222">
        <f t="shared" si="15"/>
        <v>-0.58936777954533237</v>
      </c>
    </row>
    <row r="223" spans="1:14" x14ac:dyDescent="0.35">
      <c r="A223">
        <v>221</v>
      </c>
      <c r="B223" t="s">
        <v>2</v>
      </c>
      <c r="C223" t="s">
        <v>68</v>
      </c>
      <c r="D223">
        <v>0.33333333333333331</v>
      </c>
      <c r="E223">
        <v>0.66666666666666674</v>
      </c>
      <c r="F223">
        <v>303.14999999999998</v>
      </c>
      <c r="G223">
        <v>93.2</v>
      </c>
      <c r="H223">
        <f t="shared" si="12"/>
        <v>-5.3</v>
      </c>
      <c r="I223">
        <v>4.991593906910217E-3</v>
      </c>
      <c r="J223" t="str">
        <f t="shared" si="13"/>
        <v>CC(=O)OCC[N+](C)(C)C.[Cl-]C1=CN=CN1</v>
      </c>
      <c r="K223">
        <v>11</v>
      </c>
      <c r="M223">
        <f t="shared" si="14"/>
        <v>-0.72967870461249518</v>
      </c>
      <c r="N223">
        <f t="shared" si="15"/>
        <v>-0.56923350187973809</v>
      </c>
    </row>
    <row r="224" spans="1:14" x14ac:dyDescent="0.35">
      <c r="A224">
        <v>222</v>
      </c>
      <c r="B224" t="s">
        <v>2</v>
      </c>
      <c r="C224" t="s">
        <v>68</v>
      </c>
      <c r="D224">
        <v>0.33333333333333331</v>
      </c>
      <c r="E224">
        <v>0.66666666666666674</v>
      </c>
      <c r="F224">
        <v>303.14999999999998</v>
      </c>
      <c r="G224">
        <v>141.4</v>
      </c>
      <c r="H224">
        <f t="shared" si="12"/>
        <v>-4.91</v>
      </c>
      <c r="I224">
        <v>7.372488331368012E-3</v>
      </c>
      <c r="J224" t="str">
        <f t="shared" si="13"/>
        <v>CC(=O)OCC[N+](C)(C)C.[Cl-]C1=CN=CN1</v>
      </c>
      <c r="K224">
        <v>11</v>
      </c>
      <c r="M224">
        <f t="shared" si="14"/>
        <v>-0.72967870461249518</v>
      </c>
      <c r="N224">
        <f t="shared" si="15"/>
        <v>-0.54227594122747036</v>
      </c>
    </row>
    <row r="225" spans="1:14" x14ac:dyDescent="0.35">
      <c r="A225">
        <v>223</v>
      </c>
      <c r="B225" t="s">
        <v>2</v>
      </c>
      <c r="C225" t="s">
        <v>68</v>
      </c>
      <c r="D225">
        <v>0.33333333333333331</v>
      </c>
      <c r="E225">
        <v>0.66666666666666674</v>
      </c>
      <c r="F225">
        <v>303.14999999999998</v>
      </c>
      <c r="G225">
        <v>240</v>
      </c>
      <c r="H225">
        <f t="shared" si="12"/>
        <v>-4.4000000000000004</v>
      </c>
      <c r="I225">
        <v>1.2277339903068436E-2</v>
      </c>
      <c r="J225" t="str">
        <f t="shared" si="13"/>
        <v>CC(=O)OCC[N+](C)(C)C.[Cl-]C1=CN=CN1</v>
      </c>
      <c r="K225">
        <v>11</v>
      </c>
      <c r="M225">
        <f t="shared" si="14"/>
        <v>-0.72967870461249518</v>
      </c>
      <c r="N225">
        <f t="shared" si="15"/>
        <v>-0.48713039184337059</v>
      </c>
    </row>
    <row r="226" spans="1:14" x14ac:dyDescent="0.35">
      <c r="A226">
        <v>224</v>
      </c>
      <c r="B226" t="s">
        <v>2</v>
      </c>
      <c r="C226" t="s">
        <v>68</v>
      </c>
      <c r="D226">
        <v>0.33333333333333331</v>
      </c>
      <c r="E226">
        <v>0.66666666666666674</v>
      </c>
      <c r="F226">
        <v>303.14999999999998</v>
      </c>
      <c r="G226">
        <v>331.4</v>
      </c>
      <c r="H226">
        <f t="shared" si="12"/>
        <v>-4.1100000000000003</v>
      </c>
      <c r="I226">
        <v>1.6407774526292645E-2</v>
      </c>
      <c r="J226" t="str">
        <f t="shared" si="13"/>
        <v>CC(=O)OCC[N+](C)(C)C.[Cl-]C1=CN=CN1</v>
      </c>
      <c r="K226">
        <v>11</v>
      </c>
      <c r="M226">
        <f t="shared" si="14"/>
        <v>-0.72967870461249518</v>
      </c>
      <c r="N226">
        <f t="shared" si="15"/>
        <v>-0.4360116979923897</v>
      </c>
    </row>
    <row r="227" spans="1:14" x14ac:dyDescent="0.35">
      <c r="A227">
        <v>225</v>
      </c>
      <c r="B227" t="s">
        <v>2</v>
      </c>
      <c r="C227" t="s">
        <v>68</v>
      </c>
      <c r="D227">
        <v>0.33333333333333331</v>
      </c>
      <c r="E227">
        <v>0.66666666666666674</v>
      </c>
      <c r="F227">
        <v>303.14999999999998</v>
      </c>
      <c r="G227">
        <v>422</v>
      </c>
      <c r="H227">
        <f t="shared" si="12"/>
        <v>-3.89</v>
      </c>
      <c r="I227">
        <v>2.0445346037937653E-2</v>
      </c>
      <c r="J227" t="str">
        <f t="shared" si="13"/>
        <v>CC(=O)OCC[N+](C)(C)C.[Cl-]C1=CN=CN1</v>
      </c>
      <c r="K227">
        <v>11</v>
      </c>
      <c r="M227">
        <f t="shared" si="14"/>
        <v>-0.72967870461249518</v>
      </c>
      <c r="N227">
        <f t="shared" si="15"/>
        <v>-0.38534043253397759</v>
      </c>
    </row>
    <row r="228" spans="1:14" x14ac:dyDescent="0.35">
      <c r="A228">
        <v>226</v>
      </c>
      <c r="B228" t="s">
        <v>2</v>
      </c>
      <c r="C228" t="s">
        <v>68</v>
      </c>
      <c r="D228">
        <v>0.33333333333333331</v>
      </c>
      <c r="E228">
        <v>0.66666666666666674</v>
      </c>
      <c r="F228">
        <v>303.14999999999998</v>
      </c>
      <c r="G228">
        <v>525.70000000000005</v>
      </c>
      <c r="H228">
        <f t="shared" si="12"/>
        <v>-3.7050088360438198</v>
      </c>
      <c r="I228">
        <v>2.46E-2</v>
      </c>
      <c r="J228" t="str">
        <f t="shared" si="13"/>
        <v>CC(=O)OCC[N+](C)(C)C.[Cl-]C1=CN=CN1</v>
      </c>
      <c r="K228">
        <v>11</v>
      </c>
      <c r="M228">
        <f t="shared" si="14"/>
        <v>-0.72967870461249518</v>
      </c>
      <c r="N228">
        <f t="shared" si="15"/>
        <v>-0.32734252714725198</v>
      </c>
    </row>
    <row r="229" spans="1:14" x14ac:dyDescent="0.35">
      <c r="A229">
        <v>227</v>
      </c>
      <c r="B229" t="s">
        <v>2</v>
      </c>
      <c r="C229" t="s">
        <v>68</v>
      </c>
      <c r="D229">
        <v>0.33333333333333331</v>
      </c>
      <c r="E229">
        <v>0.66666666666666674</v>
      </c>
      <c r="F229">
        <v>303.14999999999998</v>
      </c>
      <c r="G229">
        <v>578.5</v>
      </c>
      <c r="H229">
        <f t="shared" si="12"/>
        <v>-3.6156289923743437</v>
      </c>
      <c r="I229">
        <v>2.69E-2</v>
      </c>
      <c r="J229" t="str">
        <f t="shared" si="13"/>
        <v>CC(=O)OCC[N+](C)(C)C.[Cl-]C1=CN=CN1</v>
      </c>
      <c r="K229">
        <v>11</v>
      </c>
      <c r="M229">
        <f t="shared" si="14"/>
        <v>-0.72967870461249518</v>
      </c>
      <c r="N229">
        <f t="shared" si="15"/>
        <v>-0.29781225323771382</v>
      </c>
    </row>
    <row r="230" spans="1:14" x14ac:dyDescent="0.35">
      <c r="A230">
        <v>228</v>
      </c>
      <c r="B230" t="s">
        <v>2</v>
      </c>
      <c r="C230" t="s">
        <v>68</v>
      </c>
      <c r="D230">
        <v>0.33333333333333331</v>
      </c>
      <c r="E230">
        <v>0.66666666666666674</v>
      </c>
      <c r="F230">
        <v>313.14999999999998</v>
      </c>
      <c r="G230">
        <v>29.6</v>
      </c>
      <c r="H230">
        <f t="shared" si="12"/>
        <v>-6.91</v>
      </c>
      <c r="I230">
        <v>9.9775779648431204E-4</v>
      </c>
      <c r="J230" t="str">
        <f t="shared" si="13"/>
        <v>CC(=O)OCC[N+](C)(C)C.[Cl-]C1=CN=CN1</v>
      </c>
      <c r="K230">
        <v>11</v>
      </c>
      <c r="M230">
        <f t="shared" si="14"/>
        <v>5.4037971934950142E-2</v>
      </c>
      <c r="N230">
        <f t="shared" si="15"/>
        <v>-0.60480405908895463</v>
      </c>
    </row>
    <row r="231" spans="1:14" x14ac:dyDescent="0.35">
      <c r="A231">
        <v>229</v>
      </c>
      <c r="B231" t="s">
        <v>2</v>
      </c>
      <c r="C231" t="s">
        <v>68</v>
      </c>
      <c r="D231">
        <v>0.33333333333333331</v>
      </c>
      <c r="E231">
        <v>0.66666666666666674</v>
      </c>
      <c r="F231">
        <v>313.14999999999998</v>
      </c>
      <c r="G231">
        <v>59.9</v>
      </c>
      <c r="H231">
        <f t="shared" si="12"/>
        <v>-6.03</v>
      </c>
      <c r="I231">
        <v>2.4054939786195095E-3</v>
      </c>
      <c r="J231" t="str">
        <f t="shared" si="13"/>
        <v>CC(=O)OCC[N+](C)(C)C.[Cl-]C1=CN=CN1</v>
      </c>
      <c r="K231">
        <v>11</v>
      </c>
      <c r="M231">
        <f t="shared" si="14"/>
        <v>5.4037971934950142E-2</v>
      </c>
      <c r="N231">
        <f t="shared" si="15"/>
        <v>-0.58785770872041276</v>
      </c>
    </row>
    <row r="232" spans="1:14" x14ac:dyDescent="0.35">
      <c r="A232">
        <v>230</v>
      </c>
      <c r="B232" t="s">
        <v>2</v>
      </c>
      <c r="C232" t="s">
        <v>68</v>
      </c>
      <c r="D232">
        <v>0.33333333333333331</v>
      </c>
      <c r="E232">
        <v>0.66666666666666674</v>
      </c>
      <c r="F232">
        <v>313.14999999999998</v>
      </c>
      <c r="G232">
        <v>100</v>
      </c>
      <c r="H232">
        <f t="shared" si="12"/>
        <v>-5.55</v>
      </c>
      <c r="I232">
        <v>3.8874572434761303E-3</v>
      </c>
      <c r="J232" t="str">
        <f t="shared" si="13"/>
        <v>CC(=O)OCC[N+](C)(C)C.[Cl-]C1=CN=CN1</v>
      </c>
      <c r="K232">
        <v>11</v>
      </c>
      <c r="M232">
        <f t="shared" si="14"/>
        <v>5.4037971934950142E-2</v>
      </c>
      <c r="N232">
        <f t="shared" si="15"/>
        <v>-0.56543036054290363</v>
      </c>
    </row>
    <row r="233" spans="1:14" x14ac:dyDescent="0.35">
      <c r="A233">
        <v>231</v>
      </c>
      <c r="B233" t="s">
        <v>2</v>
      </c>
      <c r="C233" t="s">
        <v>68</v>
      </c>
      <c r="D233">
        <v>0.33333333333333331</v>
      </c>
      <c r="E233">
        <v>0.66666666666666674</v>
      </c>
      <c r="F233">
        <v>313.14999999999998</v>
      </c>
      <c r="G233">
        <v>149.80000000000001</v>
      </c>
      <c r="H233">
        <f t="shared" si="12"/>
        <v>-5.17</v>
      </c>
      <c r="I233">
        <v>5.684568819219595E-3</v>
      </c>
      <c r="J233" t="str">
        <f t="shared" si="13"/>
        <v>CC(=O)OCC[N+](C)(C)C.[Cl-]C1=CN=CN1</v>
      </c>
      <c r="K233">
        <v>11</v>
      </c>
      <c r="M233">
        <f t="shared" si="14"/>
        <v>5.4037971934950142E-2</v>
      </c>
      <c r="N233">
        <f t="shared" si="15"/>
        <v>-0.53757794310549833</v>
      </c>
    </row>
    <row r="234" spans="1:14" x14ac:dyDescent="0.35">
      <c r="A234">
        <v>232</v>
      </c>
      <c r="B234" t="s">
        <v>2</v>
      </c>
      <c r="C234" t="s">
        <v>68</v>
      </c>
      <c r="D234">
        <v>0.33333333333333331</v>
      </c>
      <c r="E234">
        <v>0.66666666666666674</v>
      </c>
      <c r="F234">
        <v>313.14999999999998</v>
      </c>
      <c r="G234">
        <v>242.3</v>
      </c>
      <c r="H234">
        <f t="shared" si="12"/>
        <v>-4.7</v>
      </c>
      <c r="I234">
        <v>9.0952771016958155E-3</v>
      </c>
      <c r="J234" t="str">
        <f t="shared" si="13"/>
        <v>CC(=O)OCC[N+](C)(C)C.[Cl-]C1=CN=CN1</v>
      </c>
      <c r="K234">
        <v>11</v>
      </c>
      <c r="M234">
        <f t="shared" si="14"/>
        <v>5.4037971934950142E-2</v>
      </c>
      <c r="N234">
        <f t="shared" si="15"/>
        <v>-0.4858440352147354</v>
      </c>
    </row>
    <row r="235" spans="1:14" x14ac:dyDescent="0.35">
      <c r="A235">
        <v>233</v>
      </c>
      <c r="B235" t="s">
        <v>2</v>
      </c>
      <c r="C235" t="s">
        <v>68</v>
      </c>
      <c r="D235">
        <v>0.33333333333333331</v>
      </c>
      <c r="E235">
        <v>0.66666666666666674</v>
      </c>
      <c r="F235">
        <v>313.14999999999998</v>
      </c>
      <c r="G235">
        <v>335.8</v>
      </c>
      <c r="H235">
        <f t="shared" si="12"/>
        <v>-4.38</v>
      </c>
      <c r="I235">
        <v>1.2525358621074385E-2</v>
      </c>
      <c r="J235" t="str">
        <f t="shared" si="13"/>
        <v>CC(=O)OCC[N+](C)(C)C.[Cl-]C1=CN=CN1</v>
      </c>
      <c r="K235">
        <v>11</v>
      </c>
      <c r="M235">
        <f t="shared" si="14"/>
        <v>5.4037971934950142E-2</v>
      </c>
      <c r="N235">
        <f t="shared" si="15"/>
        <v>-0.43355084183326154</v>
      </c>
    </row>
    <row r="236" spans="1:14" x14ac:dyDescent="0.35">
      <c r="A236">
        <v>234</v>
      </c>
      <c r="B236" t="s">
        <v>2</v>
      </c>
      <c r="C236" t="s">
        <v>68</v>
      </c>
      <c r="D236">
        <v>0.33333333333333331</v>
      </c>
      <c r="E236">
        <v>0.66666666666666674</v>
      </c>
      <c r="F236">
        <v>313.14999999999998</v>
      </c>
      <c r="G236">
        <v>426.5</v>
      </c>
      <c r="H236">
        <f t="shared" si="12"/>
        <v>-4.1500000000000004</v>
      </c>
      <c r="I236">
        <v>1.5764416484854486E-2</v>
      </c>
      <c r="J236" t="str">
        <f t="shared" si="13"/>
        <v>CC(=O)OCC[N+](C)(C)C.[Cl-]C1=CN=CN1</v>
      </c>
      <c r="K236">
        <v>11</v>
      </c>
      <c r="M236">
        <f t="shared" si="14"/>
        <v>5.4037971934950142E-2</v>
      </c>
      <c r="N236">
        <f t="shared" si="15"/>
        <v>-0.38282364782577832</v>
      </c>
    </row>
    <row r="237" spans="1:14" x14ac:dyDescent="0.35">
      <c r="A237">
        <v>235</v>
      </c>
      <c r="B237" t="s">
        <v>2</v>
      </c>
      <c r="C237" t="s">
        <v>68</v>
      </c>
      <c r="D237">
        <v>0.33333333333333331</v>
      </c>
      <c r="E237">
        <v>0.66666666666666674</v>
      </c>
      <c r="F237">
        <v>313.14999999999998</v>
      </c>
      <c r="G237">
        <v>529.79999999999995</v>
      </c>
      <c r="H237">
        <f t="shared" si="12"/>
        <v>-3.94</v>
      </c>
      <c r="I237">
        <v>1.9448214745385391E-2</v>
      </c>
      <c r="J237" t="str">
        <f t="shared" si="13"/>
        <v>CC(=O)OCC[N+](C)(C)C.[Cl-]C1=CN=CN1</v>
      </c>
      <c r="K237">
        <v>11</v>
      </c>
      <c r="M237">
        <f t="shared" si="14"/>
        <v>5.4037971934950142E-2</v>
      </c>
      <c r="N237">
        <f t="shared" si="15"/>
        <v>-0.32504945663533713</v>
      </c>
    </row>
    <row r="238" spans="1:14" x14ac:dyDescent="0.35">
      <c r="A238">
        <v>236</v>
      </c>
      <c r="B238" t="s">
        <v>2</v>
      </c>
      <c r="C238" t="s">
        <v>68</v>
      </c>
      <c r="D238">
        <v>0.33333333333333331</v>
      </c>
      <c r="E238">
        <v>0.66666666666666674</v>
      </c>
      <c r="F238">
        <v>313.14999999999998</v>
      </c>
      <c r="G238">
        <v>588.20000000000005</v>
      </c>
      <c r="H238">
        <f t="shared" si="12"/>
        <v>-3.8350619642920178</v>
      </c>
      <c r="I238">
        <v>2.1600000000000001E-2</v>
      </c>
      <c r="J238" t="str">
        <f t="shared" si="13"/>
        <v>CC(=O)OCC[N+](C)(C)C.[Cl-]C1=CN=CN1</v>
      </c>
      <c r="K238">
        <v>11</v>
      </c>
      <c r="M238">
        <f t="shared" si="14"/>
        <v>5.4037971934950142E-2</v>
      </c>
      <c r="N238">
        <f t="shared" si="15"/>
        <v>-0.2923871839778176</v>
      </c>
    </row>
    <row r="239" spans="1:14" x14ac:dyDescent="0.35">
      <c r="A239">
        <v>237</v>
      </c>
      <c r="B239" t="s">
        <v>2</v>
      </c>
      <c r="C239" t="s">
        <v>68</v>
      </c>
      <c r="D239">
        <v>0.33333333333333331</v>
      </c>
      <c r="E239">
        <v>0.66666666666666674</v>
      </c>
      <c r="F239">
        <v>323.14999999999998</v>
      </c>
      <c r="G239">
        <v>27.5</v>
      </c>
      <c r="H239">
        <f t="shared" si="12"/>
        <v>-7.01</v>
      </c>
      <c r="I239">
        <v>9.0280858839611358E-4</v>
      </c>
      <c r="J239" t="str">
        <f t="shared" si="13"/>
        <v>CC(=O)OCC[N+](C)(C)C.[Cl-]C1=CN=CN1</v>
      </c>
      <c r="K239">
        <v>11</v>
      </c>
      <c r="M239">
        <f t="shared" si="14"/>
        <v>0.83775464848239545</v>
      </c>
      <c r="N239">
        <f t="shared" si="15"/>
        <v>-0.6059785586194476</v>
      </c>
    </row>
    <row r="240" spans="1:14" x14ac:dyDescent="0.35">
      <c r="A240">
        <v>238</v>
      </c>
      <c r="B240" t="s">
        <v>2</v>
      </c>
      <c r="C240" t="s">
        <v>68</v>
      </c>
      <c r="D240">
        <v>0.33333333333333331</v>
      </c>
      <c r="E240">
        <v>0.66666666666666674</v>
      </c>
      <c r="F240">
        <v>323.14999999999998</v>
      </c>
      <c r="G240">
        <v>88.3</v>
      </c>
      <c r="H240">
        <f t="shared" si="12"/>
        <v>-5.81</v>
      </c>
      <c r="I240">
        <v>2.9974300723258312E-3</v>
      </c>
      <c r="J240" t="str">
        <f t="shared" si="13"/>
        <v>CC(=O)OCC[N+](C)(C)C.[Cl-]C1=CN=CN1</v>
      </c>
      <c r="K240">
        <v>11</v>
      </c>
      <c r="M240">
        <f t="shared" si="14"/>
        <v>0.83775464848239545</v>
      </c>
      <c r="N240">
        <f t="shared" si="15"/>
        <v>-0.57197400078422178</v>
      </c>
    </row>
    <row r="241" spans="1:14" x14ac:dyDescent="0.35">
      <c r="A241">
        <v>239</v>
      </c>
      <c r="B241" t="s">
        <v>2</v>
      </c>
      <c r="C241" t="s">
        <v>68</v>
      </c>
      <c r="D241">
        <v>0.33333333333333331</v>
      </c>
      <c r="E241">
        <v>0.66666666666666674</v>
      </c>
      <c r="F241">
        <v>323.14999999999998</v>
      </c>
      <c r="G241">
        <v>142.6</v>
      </c>
      <c r="H241">
        <f t="shared" si="12"/>
        <v>-5.36</v>
      </c>
      <c r="I241">
        <v>4.700906107583276E-3</v>
      </c>
      <c r="J241" t="str">
        <f t="shared" si="13"/>
        <v>CC(=O)OCC[N+](C)(C)C.[Cl-]C1=CN=CN1</v>
      </c>
      <c r="K241">
        <v>11</v>
      </c>
      <c r="M241">
        <f t="shared" si="14"/>
        <v>0.83775464848239545</v>
      </c>
      <c r="N241">
        <f t="shared" si="15"/>
        <v>-0.54160479863861721</v>
      </c>
    </row>
    <row r="242" spans="1:14" x14ac:dyDescent="0.35">
      <c r="A242">
        <v>240</v>
      </c>
      <c r="B242" t="s">
        <v>2</v>
      </c>
      <c r="C242" t="s">
        <v>68</v>
      </c>
      <c r="D242">
        <v>0.33333333333333331</v>
      </c>
      <c r="E242">
        <v>0.66666666666666674</v>
      </c>
      <c r="F242">
        <v>323.14999999999998</v>
      </c>
      <c r="G242">
        <v>232.3</v>
      </c>
      <c r="H242">
        <f t="shared" si="12"/>
        <v>-4.91</v>
      </c>
      <c r="I242">
        <v>7.372488331368012E-3</v>
      </c>
      <c r="J242" t="str">
        <f t="shared" si="13"/>
        <v>CC(=O)OCC[N+](C)(C)C.[Cl-]C1=CN=CN1</v>
      </c>
      <c r="K242">
        <v>11</v>
      </c>
      <c r="M242">
        <f t="shared" si="14"/>
        <v>0.83775464848239545</v>
      </c>
      <c r="N242">
        <f t="shared" si="15"/>
        <v>-0.49143689012184494</v>
      </c>
    </row>
    <row r="243" spans="1:14" x14ac:dyDescent="0.35">
      <c r="A243">
        <v>241</v>
      </c>
      <c r="B243" t="s">
        <v>2</v>
      </c>
      <c r="C243" t="s">
        <v>68</v>
      </c>
      <c r="D243">
        <v>0.33333333333333331</v>
      </c>
      <c r="E243">
        <v>0.66666666666666674</v>
      </c>
      <c r="F243">
        <v>323.14999999999998</v>
      </c>
      <c r="G243">
        <v>331.6</v>
      </c>
      <c r="H243">
        <f t="shared" si="12"/>
        <v>-4.57</v>
      </c>
      <c r="I243">
        <v>1.0357959717613696E-2</v>
      </c>
      <c r="J243" t="str">
        <f t="shared" si="13"/>
        <v>CC(=O)OCC[N+](C)(C)C.[Cl-]C1=CN=CN1</v>
      </c>
      <c r="K243">
        <v>11</v>
      </c>
      <c r="M243">
        <f t="shared" si="14"/>
        <v>0.83775464848239545</v>
      </c>
      <c r="N243">
        <f t="shared" si="15"/>
        <v>-0.43589984089424749</v>
      </c>
    </row>
    <row r="244" spans="1:14" x14ac:dyDescent="0.35">
      <c r="A244">
        <v>242</v>
      </c>
      <c r="B244" t="s">
        <v>2</v>
      </c>
      <c r="C244" t="s">
        <v>68</v>
      </c>
      <c r="D244">
        <v>0.33333333333333331</v>
      </c>
      <c r="E244">
        <v>0.66666666666666674</v>
      </c>
      <c r="F244">
        <v>323.14999999999998</v>
      </c>
      <c r="G244">
        <v>424.1</v>
      </c>
      <c r="H244">
        <f t="shared" si="12"/>
        <v>-4.33</v>
      </c>
      <c r="I244">
        <v>1.3167547490079751E-2</v>
      </c>
      <c r="J244" t="str">
        <f t="shared" si="13"/>
        <v>CC(=O)OCC[N+](C)(C)C.[Cl-]C1=CN=CN1</v>
      </c>
      <c r="K244">
        <v>11</v>
      </c>
      <c r="M244">
        <f t="shared" si="14"/>
        <v>0.83775464848239545</v>
      </c>
      <c r="N244">
        <f t="shared" si="15"/>
        <v>-0.38416593300348456</v>
      </c>
    </row>
    <row r="245" spans="1:14" x14ac:dyDescent="0.35">
      <c r="A245">
        <v>243</v>
      </c>
      <c r="B245" t="s">
        <v>2</v>
      </c>
      <c r="C245" t="s">
        <v>68</v>
      </c>
      <c r="D245">
        <v>0.33333333333333331</v>
      </c>
      <c r="E245">
        <v>0.66666666666666674</v>
      </c>
      <c r="F245">
        <v>323.14999999999998</v>
      </c>
      <c r="G245">
        <v>526.79999999999995</v>
      </c>
      <c r="H245">
        <f t="shared" si="12"/>
        <v>-4.1043948980756024</v>
      </c>
      <c r="I245">
        <v>1.6500000000000001E-2</v>
      </c>
      <c r="J245" t="str">
        <f t="shared" si="13"/>
        <v>CC(=O)OCC[N+](C)(C)C.[Cl-]C1=CN=CN1</v>
      </c>
      <c r="K245">
        <v>11</v>
      </c>
      <c r="M245">
        <f t="shared" si="14"/>
        <v>0.83775464848239545</v>
      </c>
      <c r="N245">
        <f t="shared" si="15"/>
        <v>-0.32672731310747</v>
      </c>
    </row>
    <row r="246" spans="1:14" x14ac:dyDescent="0.35">
      <c r="A246">
        <v>244</v>
      </c>
      <c r="B246" t="s">
        <v>2</v>
      </c>
      <c r="C246" t="s">
        <v>68</v>
      </c>
      <c r="D246">
        <v>0.33333333333333331</v>
      </c>
      <c r="E246">
        <v>0.66666666666666674</v>
      </c>
      <c r="F246">
        <v>323.14999999999998</v>
      </c>
      <c r="G246">
        <v>587.1</v>
      </c>
      <c r="H246">
        <f t="shared" si="12"/>
        <v>-4.0063336848993876</v>
      </c>
      <c r="I246">
        <v>1.8200000000000001E-2</v>
      </c>
      <c r="J246" t="str">
        <f t="shared" si="13"/>
        <v>CC(=O)OCC[N+](C)(C)C.[Cl-]C1=CN=CN1</v>
      </c>
      <c r="K246">
        <v>11</v>
      </c>
      <c r="M246">
        <f t="shared" si="14"/>
        <v>0.83775464848239545</v>
      </c>
      <c r="N246">
        <f t="shared" si="15"/>
        <v>-0.29300239801759964</v>
      </c>
    </row>
    <row r="247" spans="1:14" x14ac:dyDescent="0.35">
      <c r="A247">
        <v>245</v>
      </c>
      <c r="B247" t="s">
        <v>2</v>
      </c>
      <c r="C247" t="s">
        <v>68</v>
      </c>
      <c r="D247">
        <v>0.33333333333333331</v>
      </c>
      <c r="E247">
        <v>0.66666666666666674</v>
      </c>
      <c r="F247">
        <v>333.15</v>
      </c>
      <c r="G247">
        <v>30.6</v>
      </c>
      <c r="H247">
        <f t="shared" si="12"/>
        <v>-7.01</v>
      </c>
      <c r="I247">
        <v>9.0280858839611358E-4</v>
      </c>
      <c r="J247" t="str">
        <f t="shared" si="13"/>
        <v>CC(=O)OCC[N+](C)(C)C.[Cl-]C1=CN=CN1</v>
      </c>
      <c r="K247">
        <v>11</v>
      </c>
      <c r="M247">
        <f t="shared" si="14"/>
        <v>1.6214713250298407</v>
      </c>
      <c r="N247">
        <f t="shared" si="15"/>
        <v>-0.60424477359824369</v>
      </c>
    </row>
    <row r="248" spans="1:14" x14ac:dyDescent="0.35">
      <c r="A248">
        <v>246</v>
      </c>
      <c r="B248" t="s">
        <v>2</v>
      </c>
      <c r="C248" t="s">
        <v>68</v>
      </c>
      <c r="D248">
        <v>0.33333333333333331</v>
      </c>
      <c r="E248">
        <v>0.66666666666666674</v>
      </c>
      <c r="F248">
        <v>333.15</v>
      </c>
      <c r="G248">
        <v>60.2</v>
      </c>
      <c r="H248">
        <f t="shared" si="12"/>
        <v>-6.38</v>
      </c>
      <c r="I248">
        <v>1.6951229566232505E-3</v>
      </c>
      <c r="J248" t="str">
        <f t="shared" si="13"/>
        <v>CC(=O)OCC[N+](C)(C)C.[Cl-]C1=CN=CN1</v>
      </c>
      <c r="K248">
        <v>11</v>
      </c>
      <c r="M248">
        <f t="shared" si="14"/>
        <v>1.6214713250298407</v>
      </c>
      <c r="N248">
        <f t="shared" si="15"/>
        <v>-0.58768992307319945</v>
      </c>
    </row>
    <row r="249" spans="1:14" x14ac:dyDescent="0.35">
      <c r="A249">
        <v>247</v>
      </c>
      <c r="B249" t="s">
        <v>2</v>
      </c>
      <c r="C249" t="s">
        <v>68</v>
      </c>
      <c r="D249">
        <v>0.33333333333333331</v>
      </c>
      <c r="E249">
        <v>0.66666666666666674</v>
      </c>
      <c r="F249">
        <v>333.15</v>
      </c>
      <c r="G249">
        <v>99</v>
      </c>
      <c r="H249">
        <f t="shared" si="12"/>
        <v>-5.91</v>
      </c>
      <c r="I249">
        <v>2.7121868873866434E-3</v>
      </c>
      <c r="J249" t="str">
        <f t="shared" si="13"/>
        <v>CC(=O)OCC[N+](C)(C)C.[Cl-]C1=CN=CN1</v>
      </c>
      <c r="K249">
        <v>11</v>
      </c>
      <c r="M249">
        <f t="shared" si="14"/>
        <v>1.6214713250298407</v>
      </c>
      <c r="N249">
        <f t="shared" si="15"/>
        <v>-0.56598964603361457</v>
      </c>
    </row>
    <row r="250" spans="1:14" x14ac:dyDescent="0.35">
      <c r="A250">
        <v>248</v>
      </c>
      <c r="B250" t="s">
        <v>2</v>
      </c>
      <c r="C250" t="s">
        <v>68</v>
      </c>
      <c r="D250">
        <v>0.33333333333333331</v>
      </c>
      <c r="E250">
        <v>0.66666666666666674</v>
      </c>
      <c r="F250">
        <v>333.15</v>
      </c>
      <c r="G250">
        <v>148.6</v>
      </c>
      <c r="H250">
        <f t="shared" si="12"/>
        <v>-5.55</v>
      </c>
      <c r="I250">
        <v>3.8874572434761303E-3</v>
      </c>
      <c r="J250" t="str">
        <f t="shared" si="13"/>
        <v>CC(=O)OCC[N+](C)(C)C.[Cl-]C1=CN=CN1</v>
      </c>
      <c r="K250">
        <v>11</v>
      </c>
      <c r="M250">
        <f t="shared" si="14"/>
        <v>1.6214713250298407</v>
      </c>
      <c r="N250">
        <f t="shared" si="15"/>
        <v>-0.53824908569435148</v>
      </c>
    </row>
    <row r="251" spans="1:14" x14ac:dyDescent="0.35">
      <c r="A251">
        <v>249</v>
      </c>
      <c r="B251" t="s">
        <v>2</v>
      </c>
      <c r="C251" t="s">
        <v>68</v>
      </c>
      <c r="D251">
        <v>0.33333333333333331</v>
      </c>
      <c r="E251">
        <v>0.66666666666666674</v>
      </c>
      <c r="F251">
        <v>333.15</v>
      </c>
      <c r="G251">
        <v>235.9</v>
      </c>
      <c r="H251">
        <f t="shared" si="12"/>
        <v>-5.08</v>
      </c>
      <c r="I251">
        <v>6.2199090159425728E-3</v>
      </c>
      <c r="J251" t="str">
        <f t="shared" si="13"/>
        <v>CC(=O)OCC[N+](C)(C)C.[Cl-]C1=CN=CN1</v>
      </c>
      <c r="K251">
        <v>11</v>
      </c>
      <c r="M251">
        <f t="shared" si="14"/>
        <v>1.6214713250298407</v>
      </c>
      <c r="N251">
        <f t="shared" si="15"/>
        <v>-0.4894234623552855</v>
      </c>
    </row>
    <row r="252" spans="1:14" x14ac:dyDescent="0.35">
      <c r="A252">
        <v>250</v>
      </c>
      <c r="B252" t="s">
        <v>2</v>
      </c>
      <c r="C252" t="s">
        <v>68</v>
      </c>
      <c r="D252">
        <v>0.33333333333333331</v>
      </c>
      <c r="E252">
        <v>0.66666666666666674</v>
      </c>
      <c r="F252">
        <v>333.15</v>
      </c>
      <c r="G252">
        <v>339.2</v>
      </c>
      <c r="H252">
        <f t="shared" si="12"/>
        <v>-4.72</v>
      </c>
      <c r="I252">
        <v>8.9151785484395535E-3</v>
      </c>
      <c r="J252" t="str">
        <f t="shared" si="13"/>
        <v>CC(=O)OCC[N+](C)(C)C.[Cl-]C1=CN=CN1</v>
      </c>
      <c r="K252">
        <v>11</v>
      </c>
      <c r="M252">
        <f t="shared" si="14"/>
        <v>1.6214713250298407</v>
      </c>
      <c r="N252">
        <f t="shared" si="15"/>
        <v>-0.43164927116484425</v>
      </c>
    </row>
    <row r="253" spans="1:14" x14ac:dyDescent="0.35">
      <c r="A253">
        <v>251</v>
      </c>
      <c r="B253" t="s">
        <v>2</v>
      </c>
      <c r="C253" t="s">
        <v>68</v>
      </c>
      <c r="D253">
        <v>0.33333333333333331</v>
      </c>
      <c r="E253">
        <v>0.66666666666666674</v>
      </c>
      <c r="F253">
        <v>333.15</v>
      </c>
      <c r="G253">
        <v>429.2</v>
      </c>
      <c r="H253">
        <f t="shared" si="12"/>
        <v>-4.49</v>
      </c>
      <c r="I253">
        <v>1.1220643809589084E-2</v>
      </c>
      <c r="J253" t="str">
        <f t="shared" si="13"/>
        <v>CC(=O)OCC[N+](C)(C)C.[Cl-]C1=CN=CN1</v>
      </c>
      <c r="K253">
        <v>11</v>
      </c>
      <c r="M253">
        <f t="shared" si="14"/>
        <v>1.6214713250298407</v>
      </c>
      <c r="N253">
        <f t="shared" si="15"/>
        <v>-0.38131357700085872</v>
      </c>
    </row>
    <row r="254" spans="1:14" x14ac:dyDescent="0.35">
      <c r="A254">
        <v>252</v>
      </c>
      <c r="B254" t="s">
        <v>2</v>
      </c>
      <c r="C254" t="s">
        <v>68</v>
      </c>
      <c r="D254">
        <v>0.33333333333333331</v>
      </c>
      <c r="E254">
        <v>0.66666666666666674</v>
      </c>
      <c r="F254">
        <v>333.15</v>
      </c>
      <c r="G254">
        <v>536.5</v>
      </c>
      <c r="H254">
        <f t="shared" si="12"/>
        <v>-4.2699999999999996</v>
      </c>
      <c r="I254">
        <v>1.3981783153338308E-2</v>
      </c>
      <c r="J254" t="str">
        <f t="shared" si="13"/>
        <v>CC(=O)OCC[N+](C)(C)C.[Cl-]C1=CN=CN1</v>
      </c>
      <c r="K254">
        <v>11</v>
      </c>
      <c r="M254">
        <f t="shared" si="14"/>
        <v>1.6214713250298407</v>
      </c>
      <c r="N254">
        <f t="shared" si="15"/>
        <v>-0.32130224384757378</v>
      </c>
    </row>
    <row r="255" spans="1:14" x14ac:dyDescent="0.35">
      <c r="A255">
        <v>253</v>
      </c>
      <c r="B255" t="s">
        <v>2</v>
      </c>
      <c r="C255" t="s">
        <v>68</v>
      </c>
      <c r="D255">
        <v>0.33333333333333331</v>
      </c>
      <c r="E255">
        <v>0.66666666666666674</v>
      </c>
      <c r="F255">
        <v>333.15</v>
      </c>
      <c r="G255">
        <v>589.9</v>
      </c>
      <c r="H255">
        <f t="shared" si="12"/>
        <v>-4.1733877695625532</v>
      </c>
      <c r="I255">
        <v>1.54E-2</v>
      </c>
      <c r="J255" t="str">
        <f t="shared" si="13"/>
        <v>CC(=O)OCC[N+](C)(C)C.[Cl-]C1=CN=CN1</v>
      </c>
      <c r="K255">
        <v>11</v>
      </c>
      <c r="M255">
        <f t="shared" si="14"/>
        <v>1.6214713250298407</v>
      </c>
      <c r="N255">
        <f t="shared" si="15"/>
        <v>-0.29143639864360904</v>
      </c>
    </row>
    <row r="256" spans="1:14" x14ac:dyDescent="0.35">
      <c r="A256">
        <v>254</v>
      </c>
      <c r="B256" t="s">
        <v>7</v>
      </c>
      <c r="C256" t="s">
        <v>61</v>
      </c>
      <c r="D256">
        <v>0.33333333333333331</v>
      </c>
      <c r="E256">
        <v>0.66666666666666674</v>
      </c>
      <c r="F256">
        <v>313.14999999999998</v>
      </c>
      <c r="G256">
        <v>1130</v>
      </c>
      <c r="H256">
        <f t="shared" si="12"/>
        <v>-2.56</v>
      </c>
      <c r="I256">
        <v>7.7304740443299741E-2</v>
      </c>
      <c r="J256" t="str">
        <f t="shared" si="13"/>
        <v>C[N+](C)(C)CCO.[Cl-]C(=O)(N)N</v>
      </c>
      <c r="K256">
        <v>75</v>
      </c>
      <c r="M256">
        <f t="shared" si="14"/>
        <v>5.4037971934950142E-2</v>
      </c>
      <c r="N256">
        <f t="shared" si="15"/>
        <v>1.0633694889375378E-2</v>
      </c>
    </row>
    <row r="257" spans="1:14" x14ac:dyDescent="0.35">
      <c r="A257">
        <v>255</v>
      </c>
      <c r="B257" t="s">
        <v>7</v>
      </c>
      <c r="C257" t="s">
        <v>61</v>
      </c>
      <c r="D257">
        <v>0.33333333333333331</v>
      </c>
      <c r="E257">
        <v>0.66666666666666674</v>
      </c>
      <c r="F257">
        <v>313.14999999999998</v>
      </c>
      <c r="G257">
        <v>2850</v>
      </c>
      <c r="H257">
        <f t="shared" si="12"/>
        <v>-1.9</v>
      </c>
      <c r="I257">
        <v>0.14956861922263506</v>
      </c>
      <c r="J257" t="str">
        <f t="shared" si="13"/>
        <v>C[N+](C)(C)CCO.[Cl-]C(=O)(N)N</v>
      </c>
      <c r="K257">
        <v>75</v>
      </c>
      <c r="M257">
        <f t="shared" si="14"/>
        <v>5.4037971934950142E-2</v>
      </c>
      <c r="N257">
        <f t="shared" si="15"/>
        <v>0.97260473891221033</v>
      </c>
    </row>
    <row r="258" spans="1:14" x14ac:dyDescent="0.35">
      <c r="A258">
        <v>256</v>
      </c>
      <c r="B258" t="s">
        <v>7</v>
      </c>
      <c r="C258" t="s">
        <v>61</v>
      </c>
      <c r="D258">
        <v>0.33333333333333331</v>
      </c>
      <c r="E258">
        <v>0.66666666666666674</v>
      </c>
      <c r="F258">
        <v>313.14999999999998</v>
      </c>
      <c r="G258">
        <v>4370</v>
      </c>
      <c r="H258">
        <f t="shared" si="12"/>
        <v>-1.66</v>
      </c>
      <c r="I258">
        <v>0.19013898010152055</v>
      </c>
      <c r="J258" t="str">
        <f t="shared" si="13"/>
        <v>C[N+](C)(C)CCO.[Cl-]C(=O)(N)N</v>
      </c>
      <c r="K258">
        <v>75</v>
      </c>
      <c r="M258">
        <f t="shared" si="14"/>
        <v>5.4037971934950142E-2</v>
      </c>
      <c r="N258">
        <f t="shared" si="15"/>
        <v>1.8227186847928551</v>
      </c>
    </row>
    <row r="259" spans="1:14" x14ac:dyDescent="0.35">
      <c r="A259">
        <v>257</v>
      </c>
      <c r="B259" t="s">
        <v>7</v>
      </c>
      <c r="C259" t="s">
        <v>61</v>
      </c>
      <c r="D259">
        <v>0.33333333333333331</v>
      </c>
      <c r="E259">
        <v>0.66666666666666674</v>
      </c>
      <c r="F259">
        <v>313.14999999999998</v>
      </c>
      <c r="G259">
        <v>6230</v>
      </c>
      <c r="H259">
        <f t="shared" ref="H259:H322" si="16">LN(I259)</f>
        <v>-1.46</v>
      </c>
      <c r="I259">
        <v>0.23223627472975883</v>
      </c>
      <c r="J259" t="str">
        <f t="shared" ref="J259:J322" si="17">_xlfn.CONCAT(B259,C259)</f>
        <v>C[N+](C)(C)CCO.[Cl-]C(=O)(N)N</v>
      </c>
      <c r="K259">
        <v>75</v>
      </c>
      <c r="M259">
        <f t="shared" ref="M259:M322" si="18">(F259-$L$3)/$L$2</f>
        <v>5.4037971934950142E-2</v>
      </c>
      <c r="N259">
        <f t="shared" ref="N259:N322" si="19">(G259-$L$6)/$L$5</f>
        <v>2.8629896975152231</v>
      </c>
    </row>
    <row r="260" spans="1:14" x14ac:dyDescent="0.35">
      <c r="A260">
        <v>258</v>
      </c>
      <c r="B260" t="s">
        <v>7</v>
      </c>
      <c r="C260" t="s">
        <v>61</v>
      </c>
      <c r="D260">
        <v>0.33333333333333331</v>
      </c>
      <c r="E260">
        <v>0.66666666666666674</v>
      </c>
      <c r="F260">
        <v>313.14999999999998</v>
      </c>
      <c r="G260">
        <v>7960.0008074999996</v>
      </c>
      <c r="H260">
        <f t="shared" si="16"/>
        <v>-1.3743657902546169</v>
      </c>
      <c r="I260">
        <v>0.253</v>
      </c>
      <c r="J260" t="str">
        <f t="shared" si="17"/>
        <v>C[N+](C)(C)CCO.[Cl-]C(=O)(N)N</v>
      </c>
      <c r="K260">
        <v>75</v>
      </c>
      <c r="M260">
        <f t="shared" si="18"/>
        <v>5.4037971934950142E-2</v>
      </c>
      <c r="N260">
        <f t="shared" si="19"/>
        <v>3.8305540480682012</v>
      </c>
    </row>
    <row r="261" spans="1:14" x14ac:dyDescent="0.35">
      <c r="A261">
        <v>259</v>
      </c>
      <c r="B261" t="s">
        <v>7</v>
      </c>
      <c r="C261" t="s">
        <v>61</v>
      </c>
      <c r="D261">
        <v>0.33333333333333331</v>
      </c>
      <c r="E261">
        <v>0.66666666666666674</v>
      </c>
      <c r="F261">
        <v>313.14999999999998</v>
      </c>
      <c r="G261">
        <v>9119.9998049999995</v>
      </c>
      <c r="H261">
        <f t="shared" si="16"/>
        <v>-1.3093333199837622</v>
      </c>
      <c r="I261">
        <v>0.27</v>
      </c>
      <c r="J261" t="str">
        <f t="shared" si="17"/>
        <v>C[N+](C)(C)CCO.[Cl-]C(=O)(N)N</v>
      </c>
      <c r="K261">
        <v>75</v>
      </c>
      <c r="M261">
        <f t="shared" si="18"/>
        <v>5.4037971934950142E-2</v>
      </c>
      <c r="N261">
        <f t="shared" si="19"/>
        <v>4.4793246566091991</v>
      </c>
    </row>
    <row r="262" spans="1:14" x14ac:dyDescent="0.35">
      <c r="A262">
        <v>260</v>
      </c>
      <c r="B262" t="s">
        <v>7</v>
      </c>
      <c r="C262" t="s">
        <v>61</v>
      </c>
      <c r="D262">
        <v>0.33333333333333331</v>
      </c>
      <c r="E262">
        <v>0.66666666666666674</v>
      </c>
      <c r="F262">
        <v>313.14999999999998</v>
      </c>
      <c r="G262">
        <v>10460.002665</v>
      </c>
      <c r="H262">
        <f t="shared" si="16"/>
        <v>-1.2623083813388996</v>
      </c>
      <c r="I262">
        <v>0.28299999999999997</v>
      </c>
      <c r="J262" t="str">
        <f t="shared" si="17"/>
        <v>C[N+](C)(C)CCO.[Cl-]C(=O)(N)N</v>
      </c>
      <c r="K262">
        <v>75</v>
      </c>
      <c r="M262">
        <f t="shared" si="18"/>
        <v>5.4037971934950142E-2</v>
      </c>
      <c r="N262">
        <f t="shared" si="19"/>
        <v>5.2287688137183768</v>
      </c>
    </row>
    <row r="263" spans="1:14" x14ac:dyDescent="0.35">
      <c r="A263">
        <v>261</v>
      </c>
      <c r="B263" t="s">
        <v>7</v>
      </c>
      <c r="C263" t="s">
        <v>61</v>
      </c>
      <c r="D263">
        <v>0.33333333333333331</v>
      </c>
      <c r="E263">
        <v>0.66666666666666674</v>
      </c>
      <c r="F263">
        <v>313.14999999999998</v>
      </c>
      <c r="G263">
        <v>12499.999155</v>
      </c>
      <c r="H263">
        <f t="shared" si="16"/>
        <v>-1.1744140020843916</v>
      </c>
      <c r="I263">
        <v>0.309</v>
      </c>
      <c r="J263" t="str">
        <f t="shared" si="17"/>
        <v>C[N+](C)(C)CCO.[Cl-]C(=O)(N)N</v>
      </c>
      <c r="K263">
        <v>75</v>
      </c>
      <c r="M263">
        <f t="shared" si="18"/>
        <v>5.4037971934950142E-2</v>
      </c>
      <c r="N263">
        <f t="shared" si="19"/>
        <v>6.3697092516766434</v>
      </c>
    </row>
    <row r="264" spans="1:14" x14ac:dyDescent="0.35">
      <c r="A264">
        <v>262</v>
      </c>
      <c r="B264" t="s">
        <v>7</v>
      </c>
      <c r="C264" t="s">
        <v>61</v>
      </c>
      <c r="D264">
        <v>0.33333333333333331</v>
      </c>
      <c r="E264">
        <v>0.66666666666666674</v>
      </c>
      <c r="F264">
        <v>323.14999999999998</v>
      </c>
      <c r="G264">
        <v>1010</v>
      </c>
      <c r="H264">
        <f t="shared" si="16"/>
        <v>-2.81</v>
      </c>
      <c r="I264">
        <v>6.0204992392373542E-2</v>
      </c>
      <c r="J264" t="str">
        <f t="shared" si="17"/>
        <v>C[N+](C)(C)CCO.[Cl-]C(=O)(N)N</v>
      </c>
      <c r="K264">
        <v>75</v>
      </c>
      <c r="M264">
        <f t="shared" si="18"/>
        <v>0.83775464848239545</v>
      </c>
      <c r="N264">
        <f t="shared" si="19"/>
        <v>-5.6480563995938683E-2</v>
      </c>
    </row>
    <row r="265" spans="1:14" x14ac:dyDescent="0.35">
      <c r="A265">
        <v>263</v>
      </c>
      <c r="B265" t="s">
        <v>7</v>
      </c>
      <c r="C265" t="s">
        <v>61</v>
      </c>
      <c r="D265">
        <v>0.33333333333333331</v>
      </c>
      <c r="E265">
        <v>0.66666666666666674</v>
      </c>
      <c r="F265">
        <v>323.14999999999998</v>
      </c>
      <c r="G265">
        <v>2240</v>
      </c>
      <c r="H265">
        <f t="shared" si="16"/>
        <v>-2.23</v>
      </c>
      <c r="I265">
        <v>0.10752843013579495</v>
      </c>
      <c r="J265" t="str">
        <f t="shared" si="17"/>
        <v>C[N+](C)(C)CCO.[Cl-]C(=O)(N)N</v>
      </c>
      <c r="K265">
        <v>75</v>
      </c>
      <c r="M265">
        <f t="shared" si="18"/>
        <v>0.83775464848239545</v>
      </c>
      <c r="N265">
        <f t="shared" si="19"/>
        <v>0.63144058957853044</v>
      </c>
    </row>
    <row r="266" spans="1:14" x14ac:dyDescent="0.35">
      <c r="A266">
        <v>264</v>
      </c>
      <c r="B266" t="s">
        <v>7</v>
      </c>
      <c r="C266" t="s">
        <v>61</v>
      </c>
      <c r="D266">
        <v>0.33333333333333331</v>
      </c>
      <c r="E266">
        <v>0.66666666666666674</v>
      </c>
      <c r="F266">
        <v>323.14999999999998</v>
      </c>
      <c r="G266">
        <v>3170</v>
      </c>
      <c r="H266">
        <f t="shared" si="16"/>
        <v>-2.0299999999999998</v>
      </c>
      <c r="I266">
        <v>0.13133552114849312</v>
      </c>
      <c r="J266" t="str">
        <f t="shared" si="17"/>
        <v>C[N+](C)(C)CCO.[Cl-]C(=O)(N)N</v>
      </c>
      <c r="K266">
        <v>75</v>
      </c>
      <c r="M266">
        <f t="shared" si="18"/>
        <v>0.83775464848239545</v>
      </c>
      <c r="N266">
        <f t="shared" si="19"/>
        <v>1.1515760959397146</v>
      </c>
    </row>
    <row r="267" spans="1:14" x14ac:dyDescent="0.35">
      <c r="A267">
        <v>265</v>
      </c>
      <c r="B267" t="s">
        <v>7</v>
      </c>
      <c r="C267" t="s">
        <v>61</v>
      </c>
      <c r="D267">
        <v>0.33333333333333331</v>
      </c>
      <c r="E267">
        <v>0.66666666666666674</v>
      </c>
      <c r="F267">
        <v>323.14999999999998</v>
      </c>
      <c r="G267">
        <v>4740</v>
      </c>
      <c r="H267">
        <f t="shared" si="16"/>
        <v>-1.71</v>
      </c>
      <c r="I267">
        <v>0.1808657926171221</v>
      </c>
      <c r="J267" t="str">
        <f t="shared" si="17"/>
        <v>C[N+](C)(C)CCO.[Cl-]C(=O)(N)N</v>
      </c>
      <c r="K267">
        <v>75</v>
      </c>
      <c r="M267">
        <f t="shared" si="18"/>
        <v>0.83775464848239545</v>
      </c>
      <c r="N267">
        <f t="shared" si="19"/>
        <v>2.0296543163559067</v>
      </c>
    </row>
    <row r="268" spans="1:14" x14ac:dyDescent="0.35">
      <c r="A268">
        <v>266</v>
      </c>
      <c r="B268" t="s">
        <v>7</v>
      </c>
      <c r="C268" t="s">
        <v>61</v>
      </c>
      <c r="D268">
        <v>0.33333333333333331</v>
      </c>
      <c r="E268">
        <v>0.66666666666666674</v>
      </c>
      <c r="F268">
        <v>323.14999999999998</v>
      </c>
      <c r="G268">
        <v>6509.9995275000001</v>
      </c>
      <c r="H268">
        <f t="shared" si="16"/>
        <v>-1.5324768712979722</v>
      </c>
      <c r="I268">
        <v>0.216</v>
      </c>
      <c r="J268" t="str">
        <f t="shared" si="17"/>
        <v>C[N+](C)(C)CCO.[Cl-]C(=O)(N)N</v>
      </c>
      <c r="K268">
        <v>75</v>
      </c>
      <c r="M268">
        <f t="shared" si="18"/>
        <v>0.83775464848239545</v>
      </c>
      <c r="N268">
        <f t="shared" si="19"/>
        <v>3.0195893706518948</v>
      </c>
    </row>
    <row r="269" spans="1:14" x14ac:dyDescent="0.35">
      <c r="A269">
        <v>267</v>
      </c>
      <c r="B269" t="s">
        <v>7</v>
      </c>
      <c r="C269" t="s">
        <v>61</v>
      </c>
      <c r="D269">
        <v>0.33333333333333331</v>
      </c>
      <c r="E269">
        <v>0.66666666666666674</v>
      </c>
      <c r="F269">
        <v>323.14999999999998</v>
      </c>
      <c r="G269">
        <v>7220.0040675</v>
      </c>
      <c r="H269">
        <f t="shared" si="16"/>
        <v>-1.4740332754278973</v>
      </c>
      <c r="I269">
        <v>0.22900000000000001</v>
      </c>
      <c r="J269" t="str">
        <f t="shared" si="17"/>
        <v>C[N+](C)(C)CCO.[Cl-]C(=O)(N)N</v>
      </c>
      <c r="K269">
        <v>75</v>
      </c>
      <c r="M269">
        <f t="shared" si="18"/>
        <v>0.83775464848239545</v>
      </c>
      <c r="N269">
        <f t="shared" si="19"/>
        <v>3.4166846082127975</v>
      </c>
    </row>
    <row r="270" spans="1:14" x14ac:dyDescent="0.35">
      <c r="A270">
        <v>268</v>
      </c>
      <c r="B270" t="s">
        <v>7</v>
      </c>
      <c r="C270" t="s">
        <v>61</v>
      </c>
      <c r="D270">
        <v>0.33333333333333331</v>
      </c>
      <c r="E270">
        <v>0.66666666666666674</v>
      </c>
      <c r="F270">
        <v>323.14999999999998</v>
      </c>
      <c r="G270">
        <v>9290.0028899999998</v>
      </c>
      <c r="H270">
        <f t="shared" si="16"/>
        <v>-1.3783261914707137</v>
      </c>
      <c r="I270">
        <v>0.252</v>
      </c>
      <c r="J270" t="str">
        <f t="shared" si="17"/>
        <v>C[N+](C)(C)CCO.[Cl-]C(=O)(N)N</v>
      </c>
      <c r="K270">
        <v>75</v>
      </c>
      <c r="M270">
        <f t="shared" si="18"/>
        <v>0.83775464848239545</v>
      </c>
      <c r="N270">
        <f t="shared" si="19"/>
        <v>4.5744049154257995</v>
      </c>
    </row>
    <row r="271" spans="1:14" x14ac:dyDescent="0.35">
      <c r="A271">
        <v>269</v>
      </c>
      <c r="B271" t="s">
        <v>7</v>
      </c>
      <c r="C271" t="s">
        <v>61</v>
      </c>
      <c r="D271">
        <v>0.33333333333333331</v>
      </c>
      <c r="E271">
        <v>0.66666666666666674</v>
      </c>
      <c r="F271">
        <v>323.14999999999998</v>
      </c>
      <c r="G271">
        <v>11100.0017625</v>
      </c>
      <c r="H271">
        <f t="shared" si="16"/>
        <v>-1.305636458102436</v>
      </c>
      <c r="I271">
        <v>0.27100000000000002</v>
      </c>
      <c r="J271" t="str">
        <f t="shared" si="17"/>
        <v>C[N+](C)(C)CCO.[Cl-]C(=O)(N)N</v>
      </c>
      <c r="K271">
        <v>75</v>
      </c>
      <c r="M271">
        <f t="shared" si="18"/>
        <v>0.83775464848239545</v>
      </c>
      <c r="N271">
        <f t="shared" si="19"/>
        <v>5.5867110230182293</v>
      </c>
    </row>
    <row r="272" spans="1:14" x14ac:dyDescent="0.35">
      <c r="A272">
        <v>270</v>
      </c>
      <c r="B272" t="s">
        <v>7</v>
      </c>
      <c r="C272" t="s">
        <v>61</v>
      </c>
      <c r="D272">
        <v>0.33333333333333331</v>
      </c>
      <c r="E272">
        <v>0.66666666666666674</v>
      </c>
      <c r="F272">
        <v>333.15</v>
      </c>
      <c r="G272">
        <v>1000</v>
      </c>
      <c r="H272">
        <f t="shared" si="16"/>
        <v>-2.98</v>
      </c>
      <c r="I272">
        <v>5.0792833864898503E-2</v>
      </c>
      <c r="J272" t="str">
        <f t="shared" si="17"/>
        <v>C[N+](C)(C)CCO.[Cl-]C(=O)(N)N</v>
      </c>
      <c r="K272">
        <v>75</v>
      </c>
      <c r="M272">
        <f t="shared" si="18"/>
        <v>1.6214713250298407</v>
      </c>
      <c r="N272">
        <f t="shared" si="19"/>
        <v>-6.207341890304819E-2</v>
      </c>
    </row>
    <row r="273" spans="1:14" x14ac:dyDescent="0.35">
      <c r="A273">
        <v>271</v>
      </c>
      <c r="B273" t="s">
        <v>7</v>
      </c>
      <c r="C273" t="s">
        <v>61</v>
      </c>
      <c r="D273">
        <v>0.33333333333333331</v>
      </c>
      <c r="E273">
        <v>0.66666666666666674</v>
      </c>
      <c r="F273">
        <v>333.15</v>
      </c>
      <c r="G273">
        <v>2360</v>
      </c>
      <c r="H273">
        <f t="shared" si="16"/>
        <v>-2.31</v>
      </c>
      <c r="I273">
        <v>9.9261251559645658E-2</v>
      </c>
      <c r="J273" t="str">
        <f t="shared" si="17"/>
        <v>C[N+](C)(C)CCO.[Cl-]C(=O)(N)N</v>
      </c>
      <c r="K273">
        <v>75</v>
      </c>
      <c r="M273">
        <f t="shared" si="18"/>
        <v>1.6214713250298407</v>
      </c>
      <c r="N273">
        <f t="shared" si="19"/>
        <v>0.69855484846384452</v>
      </c>
    </row>
    <row r="274" spans="1:14" x14ac:dyDescent="0.35">
      <c r="A274">
        <v>272</v>
      </c>
      <c r="B274" t="s">
        <v>7</v>
      </c>
      <c r="C274" t="s">
        <v>61</v>
      </c>
      <c r="D274">
        <v>0.33333333333333331</v>
      </c>
      <c r="E274">
        <v>0.66666666666666674</v>
      </c>
      <c r="F274">
        <v>333.15</v>
      </c>
      <c r="G274">
        <v>4800</v>
      </c>
      <c r="H274">
        <f t="shared" si="16"/>
        <v>-1.86</v>
      </c>
      <c r="I274">
        <v>0.15567263036799731</v>
      </c>
      <c r="J274" t="str">
        <f t="shared" si="17"/>
        <v>C[N+](C)(C)CCO.[Cl-]C(=O)(N)N</v>
      </c>
      <c r="K274">
        <v>75</v>
      </c>
      <c r="M274">
        <f t="shared" si="18"/>
        <v>1.6214713250298407</v>
      </c>
      <c r="N274">
        <f t="shared" si="19"/>
        <v>2.0632114457985637</v>
      </c>
    </row>
    <row r="275" spans="1:14" x14ac:dyDescent="0.35">
      <c r="A275">
        <v>273</v>
      </c>
      <c r="B275" t="s">
        <v>7</v>
      </c>
      <c r="C275" t="s">
        <v>61</v>
      </c>
      <c r="D275">
        <v>0.33333333333333331</v>
      </c>
      <c r="E275">
        <v>0.66666666666666674</v>
      </c>
      <c r="F275">
        <v>333.15</v>
      </c>
      <c r="G275">
        <v>6310</v>
      </c>
      <c r="H275">
        <f t="shared" si="16"/>
        <v>-1.62</v>
      </c>
      <c r="I275">
        <v>0.19789869908361465</v>
      </c>
      <c r="J275" t="str">
        <f t="shared" si="17"/>
        <v>C[N+](C)(C)CCO.[Cl-]C(=O)(N)N</v>
      </c>
      <c r="K275">
        <v>75</v>
      </c>
      <c r="M275">
        <f t="shared" si="18"/>
        <v>1.6214713250298407</v>
      </c>
      <c r="N275">
        <f t="shared" si="19"/>
        <v>2.907732536772099</v>
      </c>
    </row>
    <row r="276" spans="1:14" x14ac:dyDescent="0.35">
      <c r="A276">
        <v>274</v>
      </c>
      <c r="B276" t="s">
        <v>7</v>
      </c>
      <c r="C276" t="s">
        <v>61</v>
      </c>
      <c r="D276">
        <v>0.33333333333333331</v>
      </c>
      <c r="E276">
        <v>0.66666666666666674</v>
      </c>
      <c r="F276">
        <v>333.15</v>
      </c>
      <c r="G276">
        <v>7919.9976975</v>
      </c>
      <c r="H276">
        <f t="shared" si="16"/>
        <v>-1.5371172508544744</v>
      </c>
      <c r="I276">
        <v>0.215</v>
      </c>
      <c r="J276" t="str">
        <f t="shared" si="17"/>
        <v>C[N+](C)(C)CCO.[Cl-]C(=O)(N)N</v>
      </c>
      <c r="K276">
        <v>75</v>
      </c>
      <c r="M276">
        <f t="shared" si="18"/>
        <v>1.6214713250298407</v>
      </c>
      <c r="N276">
        <f t="shared" si="19"/>
        <v>3.8081808890618869</v>
      </c>
    </row>
    <row r="277" spans="1:14" x14ac:dyDescent="0.35">
      <c r="A277">
        <v>275</v>
      </c>
      <c r="B277" t="s">
        <v>7</v>
      </c>
      <c r="C277" t="s">
        <v>61</v>
      </c>
      <c r="D277">
        <v>0.33333333333333331</v>
      </c>
      <c r="E277">
        <v>0.66666666666666674</v>
      </c>
      <c r="F277">
        <v>333.15</v>
      </c>
      <c r="G277">
        <v>9509.9997299999995</v>
      </c>
      <c r="H277">
        <f t="shared" si="16"/>
        <v>-1.4567168254164364</v>
      </c>
      <c r="I277">
        <v>0.23300000000000001</v>
      </c>
      <c r="J277" t="str">
        <f t="shared" si="17"/>
        <v>C[N+](C)(C)CCO.[Cl-]C(=O)(N)N</v>
      </c>
      <c r="K277">
        <v>75</v>
      </c>
      <c r="M277">
        <f t="shared" si="18"/>
        <v>1.6214713250298407</v>
      </c>
      <c r="N277">
        <f t="shared" si="19"/>
        <v>4.6974459560400579</v>
      </c>
    </row>
    <row r="278" spans="1:14" x14ac:dyDescent="0.35">
      <c r="A278">
        <v>276</v>
      </c>
      <c r="B278" t="s">
        <v>7</v>
      </c>
      <c r="C278" t="s">
        <v>61</v>
      </c>
      <c r="D278">
        <v>0.33333333333333331</v>
      </c>
      <c r="E278">
        <v>0.66666666666666674</v>
      </c>
      <c r="F278">
        <v>333.15</v>
      </c>
      <c r="G278">
        <v>11100.0017625</v>
      </c>
      <c r="H278">
        <f t="shared" si="16"/>
        <v>-1.3943265328171548</v>
      </c>
      <c r="I278">
        <v>0.248</v>
      </c>
      <c r="J278" t="str">
        <f t="shared" si="17"/>
        <v>C[N+](C)(C)CCO.[Cl-]C(=O)(N)N</v>
      </c>
      <c r="K278">
        <v>75</v>
      </c>
      <c r="M278">
        <f t="shared" si="18"/>
        <v>1.6214713250298407</v>
      </c>
      <c r="N278">
        <f t="shared" si="19"/>
        <v>5.5867110230182293</v>
      </c>
    </row>
    <row r="279" spans="1:14" x14ac:dyDescent="0.35">
      <c r="A279">
        <v>277</v>
      </c>
      <c r="B279" t="s">
        <v>7</v>
      </c>
      <c r="C279" t="s">
        <v>61</v>
      </c>
      <c r="D279">
        <v>0.33333333333333331</v>
      </c>
      <c r="E279">
        <v>0.66666666666666674</v>
      </c>
      <c r="F279">
        <v>333.15</v>
      </c>
      <c r="G279">
        <v>12729.996772500001</v>
      </c>
      <c r="H279">
        <f t="shared" si="16"/>
        <v>-1.3093333199837622</v>
      </c>
      <c r="I279">
        <v>0.27</v>
      </c>
      <c r="J279" t="str">
        <f t="shared" si="17"/>
        <v>C[N+](C)(C)CCO.[Cl-]C(=O)(N)N</v>
      </c>
      <c r="K279">
        <v>75</v>
      </c>
      <c r="M279">
        <f t="shared" si="18"/>
        <v>1.6214713250298407</v>
      </c>
      <c r="N279">
        <f t="shared" si="19"/>
        <v>6.4983435820424802</v>
      </c>
    </row>
    <row r="280" spans="1:14" x14ac:dyDescent="0.35">
      <c r="A280">
        <v>278</v>
      </c>
      <c r="B280" t="s">
        <v>7</v>
      </c>
      <c r="C280" t="s">
        <v>61</v>
      </c>
      <c r="D280">
        <v>0.33333333333333331</v>
      </c>
      <c r="E280">
        <v>0.66666666666666674</v>
      </c>
      <c r="F280">
        <v>309</v>
      </c>
      <c r="G280">
        <v>40.499602500000002</v>
      </c>
      <c r="H280">
        <f t="shared" si="16"/>
        <v>-6.9706950787560116</v>
      </c>
      <c r="I280">
        <v>9.3899999999999995E-4</v>
      </c>
      <c r="J280" t="str">
        <f t="shared" si="17"/>
        <v>C[N+](C)(C)CCO.[Cl-]C(=O)(N)N</v>
      </c>
      <c r="K280">
        <v>75</v>
      </c>
      <c r="M280">
        <f t="shared" si="18"/>
        <v>-0.27120444883223788</v>
      </c>
      <c r="N280">
        <f t="shared" si="19"/>
        <v>-0.59870806955618772</v>
      </c>
    </row>
    <row r="281" spans="1:14" x14ac:dyDescent="0.35">
      <c r="A281">
        <v>279</v>
      </c>
      <c r="B281" t="s">
        <v>7</v>
      </c>
      <c r="C281" t="s">
        <v>61</v>
      </c>
      <c r="D281">
        <v>0.33333333333333331</v>
      </c>
      <c r="E281">
        <v>0.66666666666666674</v>
      </c>
      <c r="F281">
        <v>309</v>
      </c>
      <c r="G281">
        <v>69.995310000000003</v>
      </c>
      <c r="H281">
        <f t="shared" si="16"/>
        <v>-6.4253291297378441</v>
      </c>
      <c r="I281">
        <v>1.6199999999999999E-3</v>
      </c>
      <c r="J281" t="str">
        <f t="shared" si="17"/>
        <v>C[N+](C)(C)CCO.[Cl-]C(=O)(N)N</v>
      </c>
      <c r="K281">
        <v>75</v>
      </c>
      <c r="M281">
        <f t="shared" si="18"/>
        <v>-0.27120444883223788</v>
      </c>
      <c r="N281">
        <f t="shared" si="19"/>
        <v>-0.58221154831318356</v>
      </c>
    </row>
    <row r="282" spans="1:14" x14ac:dyDescent="0.35">
      <c r="A282">
        <v>280</v>
      </c>
      <c r="B282" t="s">
        <v>7</v>
      </c>
      <c r="C282" t="s">
        <v>61</v>
      </c>
      <c r="D282">
        <v>0.33333333333333331</v>
      </c>
      <c r="E282">
        <v>0.66666666666666674</v>
      </c>
      <c r="F282">
        <v>309</v>
      </c>
      <c r="G282">
        <v>76.500374999999991</v>
      </c>
      <c r="H282">
        <f t="shared" si="16"/>
        <v>-6.3367757323963989</v>
      </c>
      <c r="I282">
        <v>1.7700000000000001E-3</v>
      </c>
      <c r="J282" t="str">
        <f t="shared" si="17"/>
        <v>C[N+](C)(C)CCO.[Cl-]C(=O)(N)N</v>
      </c>
      <c r="K282">
        <v>75</v>
      </c>
      <c r="M282">
        <f t="shared" si="18"/>
        <v>-0.27120444883223788</v>
      </c>
      <c r="N282">
        <f t="shared" si="19"/>
        <v>-0.57857335984255198</v>
      </c>
    </row>
    <row r="283" spans="1:14" x14ac:dyDescent="0.35">
      <c r="A283">
        <v>281</v>
      </c>
      <c r="B283" t="s">
        <v>7</v>
      </c>
      <c r="C283" t="s">
        <v>61</v>
      </c>
      <c r="D283">
        <v>0.33333333333333331</v>
      </c>
      <c r="E283">
        <v>0.66666666666666674</v>
      </c>
      <c r="F283">
        <v>309</v>
      </c>
      <c r="G283">
        <v>90.503489999999999</v>
      </c>
      <c r="H283">
        <f t="shared" si="16"/>
        <v>-6.1658179342527601</v>
      </c>
      <c r="I283">
        <v>2.0999999999999999E-3</v>
      </c>
      <c r="J283" t="str">
        <f t="shared" si="17"/>
        <v>C[N+](C)(C)CCO.[Cl-]C(=O)(N)N</v>
      </c>
      <c r="K283">
        <v>75</v>
      </c>
      <c r="M283">
        <f t="shared" si="18"/>
        <v>-0.27120444883223788</v>
      </c>
      <c r="N283">
        <f t="shared" si="19"/>
        <v>-0.57074162079829505</v>
      </c>
    </row>
    <row r="284" spans="1:14" x14ac:dyDescent="0.35">
      <c r="A284">
        <v>282</v>
      </c>
      <c r="B284" t="s">
        <v>7</v>
      </c>
      <c r="C284" t="s">
        <v>61</v>
      </c>
      <c r="D284">
        <v>0.33333333333333331</v>
      </c>
      <c r="E284">
        <v>0.66666666666666674</v>
      </c>
      <c r="F284">
        <v>309</v>
      </c>
      <c r="G284">
        <v>118.003095</v>
      </c>
      <c r="H284">
        <f t="shared" si="16"/>
        <v>-5.9034536697852689</v>
      </c>
      <c r="I284">
        <v>2.7299999999999998E-3</v>
      </c>
      <c r="J284" t="str">
        <f t="shared" si="17"/>
        <v>C[N+](C)(C)CCO.[Cl-]C(=O)(N)N</v>
      </c>
      <c r="K284">
        <v>75</v>
      </c>
      <c r="M284">
        <f t="shared" si="18"/>
        <v>-0.27120444883223788</v>
      </c>
      <c r="N284">
        <f t="shared" si="19"/>
        <v>-0.55536149072151275</v>
      </c>
    </row>
    <row r="285" spans="1:14" x14ac:dyDescent="0.35">
      <c r="A285">
        <v>283</v>
      </c>
      <c r="B285" t="s">
        <v>7</v>
      </c>
      <c r="C285" t="s">
        <v>61</v>
      </c>
      <c r="D285">
        <v>0.33333333333333331</v>
      </c>
      <c r="E285">
        <v>0.66666666666666674</v>
      </c>
      <c r="F285">
        <v>309</v>
      </c>
      <c r="G285">
        <v>118.99608000000001</v>
      </c>
      <c r="H285">
        <f t="shared" si="16"/>
        <v>-5.8961543673036569</v>
      </c>
      <c r="I285">
        <v>2.7499999999999998E-3</v>
      </c>
      <c r="J285" t="str">
        <f t="shared" si="17"/>
        <v>C[N+](C)(C)CCO.[Cl-]C(=O)(N)N</v>
      </c>
      <c r="K285">
        <v>75</v>
      </c>
      <c r="M285">
        <f t="shared" si="18"/>
        <v>-0.27120444883223788</v>
      </c>
      <c r="N285">
        <f t="shared" si="19"/>
        <v>-0.55480612861851919</v>
      </c>
    </row>
    <row r="286" spans="1:14" x14ac:dyDescent="0.35">
      <c r="A286">
        <v>284</v>
      </c>
      <c r="B286" t="s">
        <v>7</v>
      </c>
      <c r="C286" t="s">
        <v>61</v>
      </c>
      <c r="D286">
        <v>0.33333333333333331</v>
      </c>
      <c r="E286">
        <v>0.66666666666666674</v>
      </c>
      <c r="F286">
        <v>309</v>
      </c>
      <c r="G286">
        <v>134.99529749999999</v>
      </c>
      <c r="H286">
        <f t="shared" si="16"/>
        <v>-5.7414843418402128</v>
      </c>
      <c r="I286">
        <v>3.2100000000000002E-3</v>
      </c>
      <c r="J286" t="str">
        <f t="shared" si="17"/>
        <v>C[N+](C)(C)CCO.[Cl-]C(=O)(N)N</v>
      </c>
      <c r="K286">
        <v>75</v>
      </c>
      <c r="M286">
        <f t="shared" si="18"/>
        <v>-0.27120444883223788</v>
      </c>
      <c r="N286">
        <f t="shared" si="19"/>
        <v>-0.5458579984080405</v>
      </c>
    </row>
    <row r="287" spans="1:14" x14ac:dyDescent="0.35">
      <c r="A287">
        <v>285</v>
      </c>
      <c r="B287" t="s">
        <v>7</v>
      </c>
      <c r="C287" t="s">
        <v>61</v>
      </c>
      <c r="D287">
        <v>0.33333333333333331</v>
      </c>
      <c r="E287">
        <v>0.66666666666666674</v>
      </c>
      <c r="F287">
        <v>309</v>
      </c>
      <c r="G287">
        <v>151.50113999999999</v>
      </c>
      <c r="H287">
        <f t="shared" si="16"/>
        <v>-5.6549923104867688</v>
      </c>
      <c r="I287">
        <v>3.5000000000000001E-3</v>
      </c>
      <c r="J287" t="str">
        <f t="shared" si="17"/>
        <v>C[N+](C)(C)CCO.[Cl-]C(=O)(N)N</v>
      </c>
      <c r="K287">
        <v>75</v>
      </c>
      <c r="M287">
        <f t="shared" si="18"/>
        <v>-0.27120444883223788</v>
      </c>
      <c r="N287">
        <f t="shared" si="19"/>
        <v>-0.53662652018583035</v>
      </c>
    </row>
    <row r="288" spans="1:14" x14ac:dyDescent="0.35">
      <c r="A288">
        <v>286</v>
      </c>
      <c r="B288" t="s">
        <v>7</v>
      </c>
      <c r="C288" t="s">
        <v>61</v>
      </c>
      <c r="D288">
        <v>0.33333333333333331</v>
      </c>
      <c r="E288">
        <v>0.66666666666666674</v>
      </c>
      <c r="F288">
        <v>319</v>
      </c>
      <c r="G288">
        <v>41.999212499999999</v>
      </c>
      <c r="H288">
        <f t="shared" si="16"/>
        <v>-6.9954941932901438</v>
      </c>
      <c r="I288">
        <v>9.1600000000000004E-4</v>
      </c>
      <c r="J288" t="str">
        <f t="shared" si="17"/>
        <v>C[N+](C)(C)CCO.[Cl-]C(=O)(N)N</v>
      </c>
      <c r="K288">
        <v>75</v>
      </c>
      <c r="M288">
        <f t="shared" si="18"/>
        <v>0.51251222771520744</v>
      </c>
      <c r="N288">
        <f t="shared" si="19"/>
        <v>-0.5978693594414628</v>
      </c>
    </row>
    <row r="289" spans="1:14" x14ac:dyDescent="0.35">
      <c r="A289">
        <v>287</v>
      </c>
      <c r="B289" t="s">
        <v>7</v>
      </c>
      <c r="C289" t="s">
        <v>61</v>
      </c>
      <c r="D289">
        <v>0.33333333333333331</v>
      </c>
      <c r="E289">
        <v>0.66666666666666674</v>
      </c>
      <c r="F289">
        <v>319</v>
      </c>
      <c r="G289">
        <v>79.003102500000011</v>
      </c>
      <c r="H289">
        <f t="shared" si="16"/>
        <v>-6.4440212627499971</v>
      </c>
      <c r="I289">
        <v>1.5900000000000001E-3</v>
      </c>
      <c r="J289" t="str">
        <f t="shared" si="17"/>
        <v>C[N+](C)(C)CCO.[Cl-]C(=O)(N)N</v>
      </c>
      <c r="K289">
        <v>75</v>
      </c>
      <c r="M289">
        <f t="shared" si="18"/>
        <v>0.51251222771520744</v>
      </c>
      <c r="N289">
        <f t="shared" si="19"/>
        <v>-0.57717362066459865</v>
      </c>
    </row>
    <row r="290" spans="1:14" x14ac:dyDescent="0.35">
      <c r="A290">
        <v>288</v>
      </c>
      <c r="B290" t="s">
        <v>7</v>
      </c>
      <c r="C290" t="s">
        <v>61</v>
      </c>
      <c r="D290">
        <v>0.33333333333333331</v>
      </c>
      <c r="E290">
        <v>0.66666666666666674</v>
      </c>
      <c r="F290">
        <v>319</v>
      </c>
      <c r="G290">
        <v>95.002319999999997</v>
      </c>
      <c r="H290">
        <f t="shared" si="16"/>
        <v>-6.2554300929424471</v>
      </c>
      <c r="I290">
        <v>1.92E-3</v>
      </c>
      <c r="J290" t="str">
        <f t="shared" si="17"/>
        <v>C[N+](C)(C)CCO.[Cl-]C(=O)(N)N</v>
      </c>
      <c r="K290">
        <v>75</v>
      </c>
      <c r="M290">
        <f t="shared" si="18"/>
        <v>0.51251222771520744</v>
      </c>
      <c r="N290">
        <f t="shared" si="19"/>
        <v>-0.56822549045411996</v>
      </c>
    </row>
    <row r="291" spans="1:14" x14ac:dyDescent="0.35">
      <c r="A291">
        <v>289</v>
      </c>
      <c r="B291" t="s">
        <v>7</v>
      </c>
      <c r="C291" t="s">
        <v>61</v>
      </c>
      <c r="D291">
        <v>0.33333333333333331</v>
      </c>
      <c r="E291">
        <v>0.66666666666666674</v>
      </c>
      <c r="F291">
        <v>319</v>
      </c>
      <c r="G291">
        <v>105.00309750000001</v>
      </c>
      <c r="H291">
        <f t="shared" si="16"/>
        <v>-6.161067331494162</v>
      </c>
      <c r="I291">
        <v>2.1099999999999999E-3</v>
      </c>
      <c r="J291" t="str">
        <f t="shared" si="17"/>
        <v>C[N+](C)(C)CCO.[Cl-]C(=O)(N)N</v>
      </c>
      <c r="K291">
        <v>75</v>
      </c>
      <c r="M291">
        <f t="shared" si="18"/>
        <v>0.51251222771520744</v>
      </c>
      <c r="N291">
        <f t="shared" si="19"/>
        <v>-0.5626322007025415</v>
      </c>
    </row>
    <row r="292" spans="1:14" x14ac:dyDescent="0.35">
      <c r="A292">
        <v>290</v>
      </c>
      <c r="B292" t="s">
        <v>7</v>
      </c>
      <c r="C292" t="s">
        <v>61</v>
      </c>
      <c r="D292">
        <v>0.33333333333333331</v>
      </c>
      <c r="E292">
        <v>0.66666666666666674</v>
      </c>
      <c r="F292">
        <v>319</v>
      </c>
      <c r="G292">
        <v>134.00231249999999</v>
      </c>
      <c r="H292">
        <f t="shared" si="16"/>
        <v>-5.9407714327924639</v>
      </c>
      <c r="I292">
        <v>2.63E-3</v>
      </c>
      <c r="J292" t="str">
        <f t="shared" si="17"/>
        <v>C[N+](C)(C)CCO.[Cl-]C(=O)(N)N</v>
      </c>
      <c r="K292">
        <v>75</v>
      </c>
      <c r="M292">
        <f t="shared" si="18"/>
        <v>0.51251222771520744</v>
      </c>
      <c r="N292">
        <f t="shared" si="19"/>
        <v>-0.54641336051103406</v>
      </c>
    </row>
    <row r="293" spans="1:14" x14ac:dyDescent="0.35">
      <c r="A293">
        <v>291</v>
      </c>
      <c r="B293" t="s">
        <v>7</v>
      </c>
      <c r="C293" t="s">
        <v>61</v>
      </c>
      <c r="D293">
        <v>0.33333333333333331</v>
      </c>
      <c r="E293">
        <v>0.66666666666666674</v>
      </c>
      <c r="F293">
        <v>319</v>
      </c>
      <c r="G293">
        <v>147.00230999999999</v>
      </c>
      <c r="H293">
        <f t="shared" si="16"/>
        <v>-5.8534432492106072</v>
      </c>
      <c r="I293">
        <v>2.8700000000000002E-3</v>
      </c>
      <c r="J293" t="str">
        <f t="shared" si="17"/>
        <v>C[N+](C)(C)CCO.[Cl-]C(=O)(N)N</v>
      </c>
      <c r="K293">
        <v>75</v>
      </c>
      <c r="M293">
        <f t="shared" si="18"/>
        <v>0.51251222771520744</v>
      </c>
      <c r="N293">
        <f t="shared" si="19"/>
        <v>-0.53914265053000543</v>
      </c>
    </row>
    <row r="294" spans="1:14" x14ac:dyDescent="0.35">
      <c r="A294">
        <v>292</v>
      </c>
      <c r="B294" t="s">
        <v>7</v>
      </c>
      <c r="C294" t="s">
        <v>61</v>
      </c>
      <c r="D294">
        <v>0.33333333333333331</v>
      </c>
      <c r="E294">
        <v>0.66666666666666674</v>
      </c>
      <c r="F294">
        <v>329</v>
      </c>
      <c r="G294">
        <v>50.996872499999995</v>
      </c>
      <c r="H294">
        <f t="shared" si="16"/>
        <v>-7.0053681078491374</v>
      </c>
      <c r="I294">
        <v>9.0700000000000004E-4</v>
      </c>
      <c r="J294" t="str">
        <f t="shared" si="17"/>
        <v>C[N+](C)(C)CCO.[Cl-]C(=O)(N)N</v>
      </c>
      <c r="K294">
        <v>75</v>
      </c>
      <c r="M294">
        <f t="shared" si="18"/>
        <v>1.2962289042626527</v>
      </c>
      <c r="N294">
        <f t="shared" si="19"/>
        <v>-0.59283709875311252</v>
      </c>
    </row>
    <row r="295" spans="1:14" x14ac:dyDescent="0.35">
      <c r="A295">
        <v>293</v>
      </c>
      <c r="B295" t="s">
        <v>7</v>
      </c>
      <c r="C295" t="s">
        <v>61</v>
      </c>
      <c r="D295">
        <v>0.33333333333333331</v>
      </c>
      <c r="E295">
        <v>0.66666666666666674</v>
      </c>
      <c r="F295">
        <v>329</v>
      </c>
      <c r="G295">
        <v>85.001542499999999</v>
      </c>
      <c r="H295">
        <f t="shared" si="16"/>
        <v>-6.5361917225496544</v>
      </c>
      <c r="I295">
        <v>1.4499999999999999E-3</v>
      </c>
      <c r="J295" t="str">
        <f t="shared" si="17"/>
        <v>C[N+](C)(C)CCO.[Cl-]C(=O)(N)N</v>
      </c>
      <c r="K295">
        <v>75</v>
      </c>
      <c r="M295">
        <f t="shared" si="18"/>
        <v>1.2962289042626527</v>
      </c>
      <c r="N295">
        <f t="shared" si="19"/>
        <v>-0.57381878020569854</v>
      </c>
    </row>
    <row r="296" spans="1:14" x14ac:dyDescent="0.35">
      <c r="A296">
        <v>294</v>
      </c>
      <c r="B296" t="s">
        <v>7</v>
      </c>
      <c r="C296" t="s">
        <v>61</v>
      </c>
      <c r="D296">
        <v>0.33333333333333331</v>
      </c>
      <c r="E296">
        <v>0.66666666666666674</v>
      </c>
      <c r="F296">
        <v>329</v>
      </c>
      <c r="G296">
        <v>106.5027075</v>
      </c>
      <c r="H296">
        <f t="shared" si="16"/>
        <v>-6.3199686140800182</v>
      </c>
      <c r="I296">
        <v>1.8E-3</v>
      </c>
      <c r="J296" t="str">
        <f t="shared" si="17"/>
        <v>C[N+](C)(C)CCO.[Cl-]C(=O)(N)N</v>
      </c>
      <c r="K296">
        <v>75</v>
      </c>
      <c r="M296">
        <f t="shared" si="18"/>
        <v>1.2962289042626527</v>
      </c>
      <c r="N296">
        <f t="shared" si="19"/>
        <v>-0.56179349058781636</v>
      </c>
    </row>
    <row r="297" spans="1:14" x14ac:dyDescent="0.35">
      <c r="A297">
        <v>295</v>
      </c>
      <c r="B297" t="s">
        <v>7</v>
      </c>
      <c r="C297" t="s">
        <v>61</v>
      </c>
      <c r="D297">
        <v>0.33333333333333331</v>
      </c>
      <c r="E297">
        <v>0.66666666666666674</v>
      </c>
      <c r="F297">
        <v>329</v>
      </c>
      <c r="G297">
        <v>108.99530250000001</v>
      </c>
      <c r="H297">
        <f t="shared" si="16"/>
        <v>-6.2764835021402794</v>
      </c>
      <c r="I297">
        <v>1.8799999999999999E-3</v>
      </c>
      <c r="J297" t="str">
        <f t="shared" si="17"/>
        <v>C[N+](C)(C)CCO.[Cl-]C(=O)(N)N</v>
      </c>
      <c r="K297">
        <v>75</v>
      </c>
      <c r="M297">
        <f t="shared" si="18"/>
        <v>1.2962289042626527</v>
      </c>
      <c r="N297">
        <f t="shared" si="19"/>
        <v>-0.56039941837009777</v>
      </c>
    </row>
    <row r="298" spans="1:14" x14ac:dyDescent="0.35">
      <c r="A298">
        <v>296</v>
      </c>
      <c r="B298" t="s">
        <v>7</v>
      </c>
      <c r="C298" t="s">
        <v>61</v>
      </c>
      <c r="D298">
        <v>0.33333333333333331</v>
      </c>
      <c r="E298">
        <v>0.66666666666666674</v>
      </c>
      <c r="F298">
        <v>329</v>
      </c>
      <c r="G298">
        <v>134.99529749999999</v>
      </c>
      <c r="H298">
        <f t="shared" si="16"/>
        <v>-6.0322865416282374</v>
      </c>
      <c r="I298">
        <v>2.3999999999999998E-3</v>
      </c>
      <c r="J298" t="str">
        <f t="shared" si="17"/>
        <v>C[N+](C)(C)CCO.[Cl-]C(=O)(N)N</v>
      </c>
      <c r="K298">
        <v>75</v>
      </c>
      <c r="M298">
        <f t="shared" si="18"/>
        <v>1.2962289042626527</v>
      </c>
      <c r="N298">
        <f t="shared" si="19"/>
        <v>-0.5458579984080405</v>
      </c>
    </row>
    <row r="299" spans="1:14" x14ac:dyDescent="0.35">
      <c r="A299">
        <v>297</v>
      </c>
      <c r="B299" t="s">
        <v>7</v>
      </c>
      <c r="C299" t="s">
        <v>61</v>
      </c>
      <c r="D299">
        <v>0.33333333333333331</v>
      </c>
      <c r="E299">
        <v>0.66666666666666674</v>
      </c>
      <c r="F299">
        <v>329</v>
      </c>
      <c r="G299">
        <v>144.00308999999999</v>
      </c>
      <c r="H299">
        <f t="shared" si="16"/>
        <v>-5.9834963774588052</v>
      </c>
      <c r="I299">
        <v>2.5200000000000001E-3</v>
      </c>
      <c r="J299" t="str">
        <f t="shared" si="17"/>
        <v>C[N+](C)(C)CCO.[Cl-]C(=O)(N)N</v>
      </c>
      <c r="K299">
        <v>75</v>
      </c>
      <c r="M299">
        <f t="shared" si="18"/>
        <v>1.2962289042626527</v>
      </c>
      <c r="N299">
        <f t="shared" si="19"/>
        <v>-0.5408200707594556</v>
      </c>
    </row>
    <row r="300" spans="1:14" x14ac:dyDescent="0.35">
      <c r="A300">
        <v>298</v>
      </c>
      <c r="B300" t="s">
        <v>7</v>
      </c>
      <c r="C300" t="s">
        <v>61</v>
      </c>
      <c r="D300">
        <v>0.33333333333333331</v>
      </c>
      <c r="E300">
        <v>0.66666666666666674</v>
      </c>
      <c r="F300">
        <v>329</v>
      </c>
      <c r="G300">
        <v>153.4972425</v>
      </c>
      <c r="H300">
        <f t="shared" si="16"/>
        <v>-5.9331956389840066</v>
      </c>
      <c r="I300">
        <v>2.65E-3</v>
      </c>
      <c r="J300" t="str">
        <f t="shared" si="17"/>
        <v>C[N+](C)(C)CCO.[Cl-]C(=O)(N)N</v>
      </c>
      <c r="K300">
        <v>75</v>
      </c>
      <c r="M300">
        <f t="shared" si="18"/>
        <v>1.2962289042626527</v>
      </c>
      <c r="N300">
        <f t="shared" si="19"/>
        <v>-0.53551012901960848</v>
      </c>
    </row>
    <row r="301" spans="1:14" x14ac:dyDescent="0.35">
      <c r="A301">
        <v>299</v>
      </c>
      <c r="B301" t="s">
        <v>5</v>
      </c>
      <c r="C301" t="s">
        <v>39</v>
      </c>
      <c r="D301">
        <v>0.33333333333333331</v>
      </c>
      <c r="E301">
        <v>0.66666666666666674</v>
      </c>
      <c r="F301">
        <v>298.14999999999998</v>
      </c>
      <c r="G301">
        <v>325</v>
      </c>
      <c r="H301">
        <f t="shared" si="16"/>
        <v>-4.2699999999999996</v>
      </c>
      <c r="I301">
        <v>1.3981783153338308E-2</v>
      </c>
      <c r="J301" t="str">
        <f t="shared" si="17"/>
        <v>CC[N+](CC)(CC)CC1=CC=CC=C1.[Cl-]CC(=O)O</v>
      </c>
      <c r="K301">
        <v>59</v>
      </c>
      <c r="M301">
        <f t="shared" si="18"/>
        <v>-1.1215370428862177</v>
      </c>
      <c r="N301">
        <f t="shared" si="19"/>
        <v>-0.4395911251329398</v>
      </c>
    </row>
    <row r="302" spans="1:14" x14ac:dyDescent="0.35">
      <c r="A302">
        <v>300</v>
      </c>
      <c r="B302" t="s">
        <v>5</v>
      </c>
      <c r="C302" t="s">
        <v>39</v>
      </c>
      <c r="D302">
        <v>0.33333333333333331</v>
      </c>
      <c r="E302">
        <v>0.66666666666666674</v>
      </c>
      <c r="F302">
        <v>298.14999999999998</v>
      </c>
      <c r="G302">
        <v>551</v>
      </c>
      <c r="H302">
        <f t="shared" si="16"/>
        <v>-3.55</v>
      </c>
      <c r="I302">
        <v>2.8724639654239433E-2</v>
      </c>
      <c r="J302" t="str">
        <f t="shared" si="17"/>
        <v>CC[N+](CC)(CC)CC1=CC=CC=C1.[Cl-]CC(=O)O</v>
      </c>
      <c r="K302">
        <v>59</v>
      </c>
      <c r="M302">
        <f t="shared" si="18"/>
        <v>-1.1215370428862177</v>
      </c>
      <c r="N302">
        <f t="shared" si="19"/>
        <v>-0.31319260423226497</v>
      </c>
    </row>
    <row r="303" spans="1:14" x14ac:dyDescent="0.35">
      <c r="A303">
        <v>301</v>
      </c>
      <c r="B303" t="s">
        <v>5</v>
      </c>
      <c r="C303" t="s">
        <v>39</v>
      </c>
      <c r="D303">
        <v>0.33333333333333331</v>
      </c>
      <c r="E303">
        <v>0.66666666666666674</v>
      </c>
      <c r="F303">
        <v>298.14999999999998</v>
      </c>
      <c r="G303">
        <v>957</v>
      </c>
      <c r="H303">
        <f t="shared" si="16"/>
        <v>-3.12</v>
      </c>
      <c r="I303">
        <v>4.415716841969286E-2</v>
      </c>
      <c r="J303" t="str">
        <f t="shared" si="17"/>
        <v>CC[N+](CC)(CC)CC1=CC=CC=C1.[Cl-]CC(=O)O</v>
      </c>
      <c r="K303">
        <v>59</v>
      </c>
      <c r="M303">
        <f t="shared" si="18"/>
        <v>-1.1215370428862177</v>
      </c>
      <c r="N303">
        <f t="shared" si="19"/>
        <v>-8.6122695003619062E-2</v>
      </c>
    </row>
    <row r="304" spans="1:14" x14ac:dyDescent="0.35">
      <c r="A304">
        <v>302</v>
      </c>
      <c r="B304" t="s">
        <v>5</v>
      </c>
      <c r="C304" t="s">
        <v>39</v>
      </c>
      <c r="D304">
        <v>0.33333333333333331</v>
      </c>
      <c r="E304">
        <v>0.66666666666666674</v>
      </c>
      <c r="F304">
        <v>298.14999999999998</v>
      </c>
      <c r="G304">
        <v>1377</v>
      </c>
      <c r="H304">
        <f t="shared" si="16"/>
        <v>-2.78</v>
      </c>
      <c r="I304">
        <v>6.2038507377358318E-2</v>
      </c>
      <c r="J304" t="str">
        <f t="shared" si="17"/>
        <v>CC[N+](CC)(CC)CC1=CC=CC=C1.[Cl-]CC(=O)O</v>
      </c>
      <c r="K304">
        <v>59</v>
      </c>
      <c r="M304">
        <f t="shared" si="18"/>
        <v>-1.1215370428862177</v>
      </c>
      <c r="N304">
        <f t="shared" si="19"/>
        <v>0.14877721109498016</v>
      </c>
    </row>
    <row r="305" spans="1:14" x14ac:dyDescent="0.35">
      <c r="A305">
        <v>303</v>
      </c>
      <c r="B305" t="s">
        <v>5</v>
      </c>
      <c r="C305" t="s">
        <v>39</v>
      </c>
      <c r="D305">
        <v>0.33333333333333331</v>
      </c>
      <c r="E305">
        <v>0.66666666666666674</v>
      </c>
      <c r="F305">
        <v>298.14999999999998</v>
      </c>
      <c r="G305">
        <v>1664</v>
      </c>
      <c r="H305">
        <f t="shared" si="16"/>
        <v>-2.52</v>
      </c>
      <c r="I305">
        <v>8.0459606749532439E-2</v>
      </c>
      <c r="J305" t="str">
        <f t="shared" si="17"/>
        <v>CC[N+](CC)(CC)CC1=CC=CC=C1.[Cl-]CC(=O)O</v>
      </c>
      <c r="K305">
        <v>59</v>
      </c>
      <c r="M305">
        <f t="shared" si="18"/>
        <v>-1.1215370428862177</v>
      </c>
      <c r="N305">
        <f t="shared" si="19"/>
        <v>0.30929214692902296</v>
      </c>
    </row>
    <row r="306" spans="1:14" x14ac:dyDescent="0.35">
      <c r="A306">
        <v>304</v>
      </c>
      <c r="B306" t="s">
        <v>5</v>
      </c>
      <c r="C306" t="s">
        <v>39</v>
      </c>
      <c r="D306">
        <v>0.33333333333333331</v>
      </c>
      <c r="E306">
        <v>0.66666666666666674</v>
      </c>
      <c r="F306">
        <v>298.14999999999998</v>
      </c>
      <c r="G306">
        <v>2054</v>
      </c>
      <c r="H306">
        <f t="shared" si="16"/>
        <v>-2.3199999999999998</v>
      </c>
      <c r="I306">
        <v>9.8273585604361544E-2</v>
      </c>
      <c r="J306" t="str">
        <f t="shared" si="17"/>
        <v>CC[N+](CC)(CC)CC1=CC=CC=C1.[Cl-]CC(=O)O</v>
      </c>
      <c r="K306">
        <v>59</v>
      </c>
      <c r="M306">
        <f t="shared" si="18"/>
        <v>-1.1215370428862177</v>
      </c>
      <c r="N306">
        <f t="shared" si="19"/>
        <v>0.52741348830629364</v>
      </c>
    </row>
    <row r="307" spans="1:14" x14ac:dyDescent="0.35">
      <c r="A307">
        <v>305</v>
      </c>
      <c r="B307" t="s">
        <v>6</v>
      </c>
      <c r="C307" t="s">
        <v>39</v>
      </c>
      <c r="D307">
        <v>0.33333333333333331</v>
      </c>
      <c r="E307">
        <v>0.66666666666666674</v>
      </c>
      <c r="F307">
        <v>298.14999999999998</v>
      </c>
      <c r="G307">
        <v>219</v>
      </c>
      <c r="H307">
        <f t="shared" si="16"/>
        <v>-4.8899999999999997</v>
      </c>
      <c r="I307">
        <v>7.5214224749932702E-3</v>
      </c>
      <c r="J307" t="str">
        <f t="shared" si="17"/>
        <v>C[N+](C)(C)CC1=CC=CC=C1.[Cl-]CC(=O)O</v>
      </c>
      <c r="K307">
        <v>74</v>
      </c>
      <c r="M307">
        <f t="shared" si="18"/>
        <v>-1.1215370428862177</v>
      </c>
      <c r="N307">
        <f t="shared" si="19"/>
        <v>-0.49887538714830054</v>
      </c>
    </row>
    <row r="308" spans="1:14" x14ac:dyDescent="0.35">
      <c r="A308">
        <v>306</v>
      </c>
      <c r="B308" t="s">
        <v>6</v>
      </c>
      <c r="C308" t="s">
        <v>39</v>
      </c>
      <c r="D308">
        <v>0.33333333333333331</v>
      </c>
      <c r="E308">
        <v>0.66666666666666674</v>
      </c>
      <c r="F308">
        <v>298.14999999999998</v>
      </c>
      <c r="G308">
        <v>530</v>
      </c>
      <c r="H308">
        <f t="shared" si="16"/>
        <v>-3.66</v>
      </c>
      <c r="I308">
        <v>2.573251272635994E-2</v>
      </c>
      <c r="J308" t="str">
        <f t="shared" si="17"/>
        <v>C[N+](C)(C)CC1=CC=CC=C1.[Cl-]CC(=O)O</v>
      </c>
      <c r="K308">
        <v>74</v>
      </c>
      <c r="M308">
        <f t="shared" si="18"/>
        <v>-1.1215370428862177</v>
      </c>
      <c r="N308">
        <f t="shared" si="19"/>
        <v>-0.32493759953719492</v>
      </c>
    </row>
    <row r="309" spans="1:14" x14ac:dyDescent="0.35">
      <c r="A309">
        <v>307</v>
      </c>
      <c r="B309" t="s">
        <v>6</v>
      </c>
      <c r="C309" t="s">
        <v>39</v>
      </c>
      <c r="D309">
        <v>0.33333333333333331</v>
      </c>
      <c r="E309">
        <v>0.66666666666666674</v>
      </c>
      <c r="F309">
        <v>298.14999999999998</v>
      </c>
      <c r="G309">
        <v>886</v>
      </c>
      <c r="H309">
        <f t="shared" si="16"/>
        <v>-2.74</v>
      </c>
      <c r="I309">
        <v>6.457034689316847E-2</v>
      </c>
      <c r="J309" t="str">
        <f t="shared" si="17"/>
        <v>C[N+](C)(C)CC1=CC=CC=C1.[Cl-]CC(=O)O</v>
      </c>
      <c r="K309">
        <v>74</v>
      </c>
      <c r="M309">
        <f t="shared" si="18"/>
        <v>-1.1215370428862177</v>
      </c>
      <c r="N309">
        <f t="shared" si="19"/>
        <v>-0.12583196484409656</v>
      </c>
    </row>
    <row r="310" spans="1:14" x14ac:dyDescent="0.35">
      <c r="A310">
        <v>308</v>
      </c>
      <c r="B310" t="s">
        <v>6</v>
      </c>
      <c r="C310" t="s">
        <v>39</v>
      </c>
      <c r="D310">
        <v>0.33333333333333331</v>
      </c>
      <c r="E310">
        <v>0.66666666666666674</v>
      </c>
      <c r="F310">
        <v>298.14999999999998</v>
      </c>
      <c r="G310">
        <v>1141</v>
      </c>
      <c r="H310">
        <f t="shared" si="16"/>
        <v>-2.48</v>
      </c>
      <c r="I310">
        <v>8.3743225592195963E-2</v>
      </c>
      <c r="J310" t="str">
        <f t="shared" si="17"/>
        <v>C[N+](C)(C)CC1=CC=CC=C1.[Cl-]CC(=O)O</v>
      </c>
      <c r="K310">
        <v>74</v>
      </c>
      <c r="M310">
        <f t="shared" si="18"/>
        <v>-1.1215370428862177</v>
      </c>
      <c r="N310">
        <f t="shared" si="19"/>
        <v>1.6785835287195832E-2</v>
      </c>
    </row>
    <row r="311" spans="1:14" x14ac:dyDescent="0.35">
      <c r="A311">
        <v>309</v>
      </c>
      <c r="B311" t="s">
        <v>6</v>
      </c>
      <c r="C311" t="s">
        <v>39</v>
      </c>
      <c r="D311">
        <v>0.33333333333333331</v>
      </c>
      <c r="E311">
        <v>0.66666666666666674</v>
      </c>
      <c r="F311">
        <v>298.14999999999998</v>
      </c>
      <c r="G311">
        <v>1563</v>
      </c>
      <c r="H311">
        <f t="shared" si="16"/>
        <v>-2.33</v>
      </c>
      <c r="I311">
        <v>9.7295747089532758E-2</v>
      </c>
      <c r="J311" t="str">
        <f t="shared" si="17"/>
        <v>C[N+](C)(C)CC1=CC=CC=C1.[Cl-]CC(=O)O</v>
      </c>
      <c r="K311">
        <v>74</v>
      </c>
      <c r="M311">
        <f t="shared" si="18"/>
        <v>-1.1215370428862177</v>
      </c>
      <c r="N311">
        <f t="shared" si="19"/>
        <v>0.25280431236721695</v>
      </c>
    </row>
    <row r="312" spans="1:14" x14ac:dyDescent="0.35">
      <c r="A312">
        <v>310</v>
      </c>
      <c r="B312" t="s">
        <v>6</v>
      </c>
      <c r="C312" t="s">
        <v>39</v>
      </c>
      <c r="D312">
        <v>0.33333333333333331</v>
      </c>
      <c r="E312">
        <v>0.66666666666666674</v>
      </c>
      <c r="F312">
        <v>298.14999999999998</v>
      </c>
      <c r="G312">
        <v>1874</v>
      </c>
      <c r="H312">
        <f t="shared" si="16"/>
        <v>-2.1800000000000002</v>
      </c>
      <c r="I312">
        <v>0.11304153064044985</v>
      </c>
      <c r="J312" t="str">
        <f t="shared" si="17"/>
        <v>C[N+](C)(C)CC1=CC=CC=C1.[Cl-]CC(=O)O</v>
      </c>
      <c r="K312">
        <v>74</v>
      </c>
      <c r="M312">
        <f t="shared" si="18"/>
        <v>-1.1215370428862177</v>
      </c>
      <c r="N312">
        <f t="shared" si="19"/>
        <v>0.42674209997832258</v>
      </c>
    </row>
    <row r="313" spans="1:14" x14ac:dyDescent="0.35">
      <c r="A313">
        <v>311</v>
      </c>
      <c r="B313" t="s">
        <v>6</v>
      </c>
      <c r="C313" t="s">
        <v>39</v>
      </c>
      <c r="D313">
        <v>0.33333333333333331</v>
      </c>
      <c r="E313">
        <v>0.66666666666666674</v>
      </c>
      <c r="F313">
        <v>298.14999999999998</v>
      </c>
      <c r="G313">
        <v>2037</v>
      </c>
      <c r="H313">
        <f t="shared" si="16"/>
        <v>-2.09</v>
      </c>
      <c r="I313">
        <v>0.12368713581745483</v>
      </c>
      <c r="J313" t="str">
        <f t="shared" si="17"/>
        <v>C[N+](C)(C)CC1=CC=CC=C1.[Cl-]CC(=O)O</v>
      </c>
      <c r="K313">
        <v>74</v>
      </c>
      <c r="M313">
        <f t="shared" si="18"/>
        <v>-1.1215370428862177</v>
      </c>
      <c r="N313">
        <f t="shared" si="19"/>
        <v>0.5179056349642075</v>
      </c>
    </row>
    <row r="314" spans="1:14" x14ac:dyDescent="0.35">
      <c r="A314">
        <v>312</v>
      </c>
      <c r="B314" t="s">
        <v>6</v>
      </c>
      <c r="C314" t="s">
        <v>42</v>
      </c>
      <c r="D314">
        <v>0.33333333333333331</v>
      </c>
      <c r="E314">
        <v>0.66666666666666674</v>
      </c>
      <c r="F314">
        <v>298.14999999999998</v>
      </c>
      <c r="G314">
        <v>394</v>
      </c>
      <c r="H314">
        <f t="shared" si="16"/>
        <v>-5.43</v>
      </c>
      <c r="I314">
        <v>4.3830958026687761E-3</v>
      </c>
      <c r="J314" t="str">
        <f t="shared" si="17"/>
        <v>C[N+](C)(C)CC1=CC=CC=C1.[Cl-]C(C(CO)O)O</v>
      </c>
      <c r="K314">
        <v>73</v>
      </c>
      <c r="M314">
        <f t="shared" si="18"/>
        <v>-1.1215370428862177</v>
      </c>
      <c r="N314">
        <f t="shared" si="19"/>
        <v>-0.40100042627388421</v>
      </c>
    </row>
    <row r="315" spans="1:14" x14ac:dyDescent="0.35">
      <c r="A315">
        <v>313</v>
      </c>
      <c r="B315" t="s">
        <v>6</v>
      </c>
      <c r="C315" t="s">
        <v>42</v>
      </c>
      <c r="D315">
        <v>0.33333333333333331</v>
      </c>
      <c r="E315">
        <v>0.66666666666666674</v>
      </c>
      <c r="F315">
        <v>298.14999999999998</v>
      </c>
      <c r="G315">
        <v>672</v>
      </c>
      <c r="H315">
        <f t="shared" si="16"/>
        <v>-5.0199999999999996</v>
      </c>
      <c r="I315">
        <v>6.6045267093148112E-3</v>
      </c>
      <c r="J315" t="str">
        <f t="shared" si="17"/>
        <v>C[N+](C)(C)CC1=CC=CC=C1.[Cl-]C(C(CO)O)O</v>
      </c>
      <c r="K315">
        <v>73</v>
      </c>
      <c r="M315">
        <f t="shared" si="18"/>
        <v>-1.1215370428862177</v>
      </c>
      <c r="N315">
        <f t="shared" si="19"/>
        <v>-0.24551905985623995</v>
      </c>
    </row>
    <row r="316" spans="1:14" x14ac:dyDescent="0.35">
      <c r="A316">
        <v>314</v>
      </c>
      <c r="B316" t="s">
        <v>6</v>
      </c>
      <c r="C316" t="s">
        <v>42</v>
      </c>
      <c r="D316">
        <v>0.33333333333333331</v>
      </c>
      <c r="E316">
        <v>0.66666666666666674</v>
      </c>
      <c r="F316">
        <v>298.14999999999998</v>
      </c>
      <c r="G316">
        <v>999</v>
      </c>
      <c r="H316">
        <f t="shared" si="16"/>
        <v>-4.49</v>
      </c>
      <c r="I316">
        <v>1.1220643809589084E-2</v>
      </c>
      <c r="J316" t="str">
        <f t="shared" si="17"/>
        <v>C[N+](C)(C)CC1=CC=CC=C1.[Cl-]C(C(CO)O)O</v>
      </c>
      <c r="K316">
        <v>73</v>
      </c>
      <c r="M316">
        <f t="shared" si="18"/>
        <v>-1.1215370428862177</v>
      </c>
      <c r="N316">
        <f t="shared" si="19"/>
        <v>-6.2632704393759148E-2</v>
      </c>
    </row>
    <row r="317" spans="1:14" x14ac:dyDescent="0.35">
      <c r="A317">
        <v>315</v>
      </c>
      <c r="B317" t="s">
        <v>6</v>
      </c>
      <c r="C317" t="s">
        <v>42</v>
      </c>
      <c r="D317">
        <v>0.33333333333333331</v>
      </c>
      <c r="E317">
        <v>0.66666666666666674</v>
      </c>
      <c r="F317">
        <v>298.14999999999998</v>
      </c>
      <c r="G317">
        <v>1345</v>
      </c>
      <c r="H317">
        <f t="shared" si="16"/>
        <v>-3.88</v>
      </c>
      <c r="I317">
        <v>2.0650825181712566E-2</v>
      </c>
      <c r="J317" t="str">
        <f t="shared" si="17"/>
        <v>C[N+](C)(C)CC1=CC=CC=C1.[Cl-]C(C(CO)O)O</v>
      </c>
      <c r="K317">
        <v>73</v>
      </c>
      <c r="M317">
        <f t="shared" si="18"/>
        <v>-1.1215370428862177</v>
      </c>
      <c r="N317">
        <f t="shared" si="19"/>
        <v>0.13088007539222973</v>
      </c>
    </row>
    <row r="318" spans="1:14" x14ac:dyDescent="0.35">
      <c r="A318">
        <v>316</v>
      </c>
      <c r="B318" t="s">
        <v>6</v>
      </c>
      <c r="C318" t="s">
        <v>42</v>
      </c>
      <c r="D318">
        <v>0.33333333333333331</v>
      </c>
      <c r="E318">
        <v>0.66666666666666674</v>
      </c>
      <c r="F318">
        <v>298.14999999999998</v>
      </c>
      <c r="G318">
        <v>1711</v>
      </c>
      <c r="H318">
        <f t="shared" si="16"/>
        <v>-3.64</v>
      </c>
      <c r="I318">
        <v>2.6252343965687961E-2</v>
      </c>
      <c r="J318" t="str">
        <f t="shared" si="17"/>
        <v>C[N+](C)(C)CC1=CC=CC=C1.[Cl-]C(C(CO)O)O</v>
      </c>
      <c r="K318">
        <v>73</v>
      </c>
      <c r="M318">
        <f t="shared" si="18"/>
        <v>-1.1215370428862177</v>
      </c>
      <c r="N318">
        <f t="shared" si="19"/>
        <v>0.33557856499243766</v>
      </c>
    </row>
    <row r="319" spans="1:14" x14ac:dyDescent="0.35">
      <c r="A319">
        <v>317</v>
      </c>
      <c r="B319" t="s">
        <v>6</v>
      </c>
      <c r="C319" t="s">
        <v>42</v>
      </c>
      <c r="D319">
        <v>0.33333333333333331</v>
      </c>
      <c r="E319">
        <v>0.66666666666666674</v>
      </c>
      <c r="F319">
        <v>298.14999999999998</v>
      </c>
      <c r="G319">
        <v>2026</v>
      </c>
      <c r="H319">
        <f t="shared" si="16"/>
        <v>-3.51</v>
      </c>
      <c r="I319">
        <v>2.9896914436926322E-2</v>
      </c>
      <c r="J319" t="str">
        <f t="shared" si="17"/>
        <v>C[N+](C)(C)CC1=CC=CC=C1.[Cl-]C(C(CO)O)O</v>
      </c>
      <c r="K319">
        <v>73</v>
      </c>
      <c r="M319">
        <f t="shared" si="18"/>
        <v>-1.1215370428862177</v>
      </c>
      <c r="N319">
        <f t="shared" si="19"/>
        <v>0.51175349456638708</v>
      </c>
    </row>
    <row r="320" spans="1:14" x14ac:dyDescent="0.35">
      <c r="A320">
        <v>318</v>
      </c>
      <c r="B320" t="s">
        <v>7</v>
      </c>
      <c r="C320" t="s">
        <v>58</v>
      </c>
      <c r="D320">
        <v>0.33333333333333331</v>
      </c>
      <c r="E320">
        <v>0.66666666666666674</v>
      </c>
      <c r="F320">
        <v>293.14999999999998</v>
      </c>
      <c r="G320">
        <v>99</v>
      </c>
      <c r="H320">
        <f t="shared" si="16"/>
        <v>-5.57</v>
      </c>
      <c r="I320">
        <v>3.810480432592037E-3</v>
      </c>
      <c r="J320" t="str">
        <f t="shared" si="17"/>
        <v>C[N+](C)(C)CCO.[Cl-]C1=CC=C(C=C1)O</v>
      </c>
      <c r="K320">
        <v>84</v>
      </c>
      <c r="M320">
        <f t="shared" si="18"/>
        <v>-1.5133953811599403</v>
      </c>
      <c r="N320">
        <f t="shared" si="19"/>
        <v>-0.56598964603361457</v>
      </c>
    </row>
    <row r="321" spans="1:14" x14ac:dyDescent="0.35">
      <c r="A321">
        <v>319</v>
      </c>
      <c r="B321" t="s">
        <v>7</v>
      </c>
      <c r="C321" t="s">
        <v>58</v>
      </c>
      <c r="D321">
        <v>0.33333333333333331</v>
      </c>
      <c r="E321">
        <v>0.66666666666666674</v>
      </c>
      <c r="F321">
        <v>293.14999999999998</v>
      </c>
      <c r="G321">
        <v>197.2</v>
      </c>
      <c r="H321">
        <f t="shared" si="16"/>
        <v>-4.87</v>
      </c>
      <c r="I321">
        <v>7.6733652878954893E-3</v>
      </c>
      <c r="J321" t="str">
        <f t="shared" si="17"/>
        <v>C[N+](C)(C)CCO.[Cl-]C1=CC=C(C=C1)O</v>
      </c>
      <c r="K321">
        <v>84</v>
      </c>
      <c r="M321">
        <f t="shared" si="18"/>
        <v>-1.5133953811599403</v>
      </c>
      <c r="N321">
        <f t="shared" si="19"/>
        <v>-0.51106781084579922</v>
      </c>
    </row>
    <row r="322" spans="1:14" x14ac:dyDescent="0.35">
      <c r="A322">
        <v>320</v>
      </c>
      <c r="B322" t="s">
        <v>7</v>
      </c>
      <c r="C322" t="s">
        <v>58</v>
      </c>
      <c r="D322">
        <v>0.33333333333333331</v>
      </c>
      <c r="E322">
        <v>0.66666666666666674</v>
      </c>
      <c r="F322">
        <v>293.14999999999998</v>
      </c>
      <c r="G322">
        <v>303.10000000000002</v>
      </c>
      <c r="H322">
        <f t="shared" si="16"/>
        <v>-4.37</v>
      </c>
      <c r="I322">
        <v>1.2651240568005305E-2</v>
      </c>
      <c r="J322" t="str">
        <f t="shared" si="17"/>
        <v>C[N+](C)(C)CCO.[Cl-]C1=CC=C(C=C1)O</v>
      </c>
      <c r="K322">
        <v>84</v>
      </c>
      <c r="M322">
        <f t="shared" si="18"/>
        <v>-1.5133953811599403</v>
      </c>
      <c r="N322">
        <f t="shared" si="19"/>
        <v>-0.45183947737950958</v>
      </c>
    </row>
    <row r="323" spans="1:14" x14ac:dyDescent="0.35">
      <c r="A323">
        <v>321</v>
      </c>
      <c r="B323" t="s">
        <v>7</v>
      </c>
      <c r="C323" t="s">
        <v>58</v>
      </c>
      <c r="D323">
        <v>0.33333333333333331</v>
      </c>
      <c r="E323">
        <v>0.66666666666666674</v>
      </c>
      <c r="F323">
        <v>293.14999999999998</v>
      </c>
      <c r="G323">
        <v>397</v>
      </c>
      <c r="H323">
        <f t="shared" ref="H323:H386" si="20">LN(I323)</f>
        <v>-4.12</v>
      </c>
      <c r="I323">
        <v>1.6244514441949871E-2</v>
      </c>
      <c r="J323" t="str">
        <f t="shared" ref="J323:J386" si="21">_xlfn.CONCAT(B323,C323)</f>
        <v>C[N+](C)(C)CCO.[Cl-]C1=CC=C(C=C1)O</v>
      </c>
      <c r="K323">
        <v>84</v>
      </c>
      <c r="M323">
        <f t="shared" ref="M323:M386" si="22">(F323-$L$3)/$L$2</f>
        <v>-1.5133953811599403</v>
      </c>
      <c r="N323">
        <f t="shared" ref="N323:N386" si="23">(G323-$L$6)/$L$5</f>
        <v>-0.39932256980175135</v>
      </c>
    </row>
    <row r="324" spans="1:14" x14ac:dyDescent="0.35">
      <c r="A324">
        <v>322</v>
      </c>
      <c r="B324" t="s">
        <v>7</v>
      </c>
      <c r="C324" t="s">
        <v>58</v>
      </c>
      <c r="D324">
        <v>0.33333333333333331</v>
      </c>
      <c r="E324">
        <v>0.66666666666666674</v>
      </c>
      <c r="F324">
        <v>293.14999999999998</v>
      </c>
      <c r="G324">
        <v>494.5</v>
      </c>
      <c r="H324">
        <f t="shared" si="20"/>
        <v>-3.87</v>
      </c>
      <c r="I324">
        <v>2.0858369425214716E-2</v>
      </c>
      <c r="J324" t="str">
        <f t="shared" si="21"/>
        <v>C[N+](C)(C)CCO.[Cl-]C1=CC=C(C=C1)O</v>
      </c>
      <c r="K324">
        <v>84</v>
      </c>
      <c r="M324">
        <f t="shared" si="22"/>
        <v>-1.5133953811599403</v>
      </c>
      <c r="N324">
        <f t="shared" si="23"/>
        <v>-0.34479223445743368</v>
      </c>
    </row>
    <row r="325" spans="1:14" x14ac:dyDescent="0.35">
      <c r="A325">
        <v>323</v>
      </c>
      <c r="B325" t="s">
        <v>7</v>
      </c>
      <c r="C325" t="s">
        <v>58</v>
      </c>
      <c r="D325">
        <v>0.33333333333333331</v>
      </c>
      <c r="E325">
        <v>0.66666666666666674</v>
      </c>
      <c r="F325">
        <v>303.14999999999998</v>
      </c>
      <c r="G325">
        <v>104.3</v>
      </c>
      <c r="H325">
        <f t="shared" si="20"/>
        <v>-5.6</v>
      </c>
      <c r="I325">
        <v>3.697863716482932E-3</v>
      </c>
      <c r="J325" t="str">
        <f t="shared" si="21"/>
        <v>C[N+](C)(C)CCO.[Cl-]C1=CC=C(C=C1)O</v>
      </c>
      <c r="K325">
        <v>84</v>
      </c>
      <c r="M325">
        <f t="shared" si="22"/>
        <v>-0.72967870461249518</v>
      </c>
      <c r="N325">
        <f t="shared" si="23"/>
        <v>-0.56302543293284657</v>
      </c>
    </row>
    <row r="326" spans="1:14" x14ac:dyDescent="0.35">
      <c r="A326">
        <v>324</v>
      </c>
      <c r="B326" t="s">
        <v>7</v>
      </c>
      <c r="C326" t="s">
        <v>58</v>
      </c>
      <c r="D326">
        <v>0.33333333333333331</v>
      </c>
      <c r="E326">
        <v>0.66666666666666674</v>
      </c>
      <c r="F326">
        <v>303.14999999999998</v>
      </c>
      <c r="G326">
        <v>198.2</v>
      </c>
      <c r="H326">
        <f t="shared" si="20"/>
        <v>-4.95</v>
      </c>
      <c r="I326">
        <v>7.0834089290521185E-3</v>
      </c>
      <c r="J326" t="str">
        <f t="shared" si="21"/>
        <v>C[N+](C)(C)CCO.[Cl-]C1=CC=C(C=C1)O</v>
      </c>
      <c r="K326">
        <v>84</v>
      </c>
      <c r="M326">
        <f t="shared" si="22"/>
        <v>-0.72967870461249518</v>
      </c>
      <c r="N326">
        <f t="shared" si="23"/>
        <v>-0.51050852535508828</v>
      </c>
    </row>
    <row r="327" spans="1:14" x14ac:dyDescent="0.35">
      <c r="A327">
        <v>325</v>
      </c>
      <c r="B327" t="s">
        <v>7</v>
      </c>
      <c r="C327" t="s">
        <v>58</v>
      </c>
      <c r="D327">
        <v>0.33333333333333331</v>
      </c>
      <c r="E327">
        <v>0.66666666666666674</v>
      </c>
      <c r="F327">
        <v>303.14999999999998</v>
      </c>
      <c r="G327">
        <v>295.5</v>
      </c>
      <c r="H327">
        <f t="shared" si="20"/>
        <v>-4.5599999999999996</v>
      </c>
      <c r="I327">
        <v>1.0462058943426803E-2</v>
      </c>
      <c r="J327" t="str">
        <f t="shared" si="21"/>
        <v>C[N+](C)(C)CCO.[Cl-]C1=CC=C(C=C1)O</v>
      </c>
      <c r="K327">
        <v>84</v>
      </c>
      <c r="M327">
        <f t="shared" si="22"/>
        <v>-0.72967870461249518</v>
      </c>
      <c r="N327">
        <f t="shared" si="23"/>
        <v>-0.45609004710891282</v>
      </c>
    </row>
    <row r="328" spans="1:14" x14ac:dyDescent="0.35">
      <c r="A328">
        <v>326</v>
      </c>
      <c r="B328" t="s">
        <v>7</v>
      </c>
      <c r="C328" t="s">
        <v>58</v>
      </c>
      <c r="D328">
        <v>0.33333333333333331</v>
      </c>
      <c r="E328">
        <v>0.66666666666666674</v>
      </c>
      <c r="F328">
        <v>303.14999999999998</v>
      </c>
      <c r="G328">
        <v>400.6</v>
      </c>
      <c r="H328">
        <f t="shared" si="20"/>
        <v>-4.29</v>
      </c>
      <c r="I328">
        <v>1.3704925297364945E-2</v>
      </c>
      <c r="J328" t="str">
        <f t="shared" si="21"/>
        <v>C[N+](C)(C)CCO.[Cl-]C1=CC=C(C=C1)O</v>
      </c>
      <c r="K328">
        <v>84</v>
      </c>
      <c r="M328">
        <f t="shared" si="22"/>
        <v>-0.72967870461249518</v>
      </c>
      <c r="N328">
        <f t="shared" si="23"/>
        <v>-0.39730914203519191</v>
      </c>
    </row>
    <row r="329" spans="1:14" x14ac:dyDescent="0.35">
      <c r="A329">
        <v>327</v>
      </c>
      <c r="B329" t="s">
        <v>7</v>
      </c>
      <c r="C329" t="s">
        <v>58</v>
      </c>
      <c r="D329">
        <v>0.33333333333333331</v>
      </c>
      <c r="E329">
        <v>0.66666666666666674</v>
      </c>
      <c r="F329">
        <v>303.14999999999998</v>
      </c>
      <c r="G329">
        <v>510.1</v>
      </c>
      <c r="H329">
        <f t="shared" si="20"/>
        <v>-4.07</v>
      </c>
      <c r="I329">
        <v>1.7077388507484793E-2</v>
      </c>
      <c r="J329" t="str">
        <f t="shared" si="21"/>
        <v>C[N+](C)(C)CCO.[Cl-]C1=CC=C(C=C1)O</v>
      </c>
      <c r="K329">
        <v>84</v>
      </c>
      <c r="M329">
        <f t="shared" si="22"/>
        <v>-0.72967870461249518</v>
      </c>
      <c r="N329">
        <f t="shared" si="23"/>
        <v>-0.33606738080234283</v>
      </c>
    </row>
    <row r="330" spans="1:14" x14ac:dyDescent="0.35">
      <c r="A330">
        <v>328</v>
      </c>
      <c r="B330" t="s">
        <v>7</v>
      </c>
      <c r="C330" t="s">
        <v>58</v>
      </c>
      <c r="D330">
        <v>0.33333333333333331</v>
      </c>
      <c r="E330">
        <v>0.66666666666666674</v>
      </c>
      <c r="F330">
        <v>313.14999999999998</v>
      </c>
      <c r="G330">
        <v>121.8</v>
      </c>
      <c r="H330">
        <f t="shared" si="20"/>
        <v>-5.71</v>
      </c>
      <c r="I330">
        <v>3.3126725448998926E-3</v>
      </c>
      <c r="J330" t="str">
        <f t="shared" si="21"/>
        <v>C[N+](C)(C)CCO.[Cl-]C1=CC=C(C=C1)O</v>
      </c>
      <c r="K330">
        <v>84</v>
      </c>
      <c r="M330">
        <f t="shared" si="22"/>
        <v>5.4037971934950142E-2</v>
      </c>
      <c r="N330">
        <f t="shared" si="23"/>
        <v>-0.55323793684540501</v>
      </c>
    </row>
    <row r="331" spans="1:14" x14ac:dyDescent="0.35">
      <c r="A331">
        <v>329</v>
      </c>
      <c r="B331" t="s">
        <v>7</v>
      </c>
      <c r="C331" t="s">
        <v>58</v>
      </c>
      <c r="D331">
        <v>0.33333333333333331</v>
      </c>
      <c r="E331">
        <v>0.66666666666666674</v>
      </c>
      <c r="F331">
        <v>313.14999999999998</v>
      </c>
      <c r="G331">
        <v>217.8</v>
      </c>
      <c r="H331">
        <f t="shared" si="20"/>
        <v>-5.12</v>
      </c>
      <c r="I331">
        <v>5.9760228950059427E-3</v>
      </c>
      <c r="J331" t="str">
        <f t="shared" si="21"/>
        <v>C[N+](C)(C)CCO.[Cl-]C1=CC=C(C=C1)O</v>
      </c>
      <c r="K331">
        <v>84</v>
      </c>
      <c r="M331">
        <f t="shared" si="22"/>
        <v>5.4037971934950142E-2</v>
      </c>
      <c r="N331">
        <f t="shared" si="23"/>
        <v>-0.49954652973715374</v>
      </c>
    </row>
    <row r="332" spans="1:14" x14ac:dyDescent="0.35">
      <c r="A332">
        <v>330</v>
      </c>
      <c r="B332" t="s">
        <v>7</v>
      </c>
      <c r="C332" t="s">
        <v>58</v>
      </c>
      <c r="D332">
        <v>0.33333333333333331</v>
      </c>
      <c r="E332">
        <v>0.66666666666666674</v>
      </c>
      <c r="F332">
        <v>313.14999999999998</v>
      </c>
      <c r="G332">
        <v>322</v>
      </c>
      <c r="H332">
        <f t="shared" si="20"/>
        <v>-4.7</v>
      </c>
      <c r="I332">
        <v>9.0952771016958155E-3</v>
      </c>
      <c r="J332" t="str">
        <f t="shared" si="21"/>
        <v>C[N+](C)(C)CCO.[Cl-]C1=CC=C(C=C1)O</v>
      </c>
      <c r="K332">
        <v>84</v>
      </c>
      <c r="M332">
        <f t="shared" si="22"/>
        <v>5.4037971934950142E-2</v>
      </c>
      <c r="N332">
        <f t="shared" si="23"/>
        <v>-0.44126898160507266</v>
      </c>
    </row>
    <row r="333" spans="1:14" x14ac:dyDescent="0.35">
      <c r="A333">
        <v>331</v>
      </c>
      <c r="B333" t="s">
        <v>7</v>
      </c>
      <c r="C333" t="s">
        <v>58</v>
      </c>
      <c r="D333">
        <v>0.33333333333333331</v>
      </c>
      <c r="E333">
        <v>0.66666666666666674</v>
      </c>
      <c r="F333">
        <v>313.14999999999998</v>
      </c>
      <c r="G333">
        <v>417.4</v>
      </c>
      <c r="H333">
        <f t="shared" si="20"/>
        <v>-4.41</v>
      </c>
      <c r="I333">
        <v>1.2155178329914935E-2</v>
      </c>
      <c r="J333" t="str">
        <f t="shared" si="21"/>
        <v>C[N+](C)(C)CCO.[Cl-]C1=CC=C(C=C1)O</v>
      </c>
      <c r="K333">
        <v>84</v>
      </c>
      <c r="M333">
        <f t="shared" si="22"/>
        <v>5.4037971934950142E-2</v>
      </c>
      <c r="N333">
        <f t="shared" si="23"/>
        <v>-0.38791314579124797</v>
      </c>
    </row>
    <row r="334" spans="1:14" x14ac:dyDescent="0.35">
      <c r="A334">
        <v>332</v>
      </c>
      <c r="B334" t="s">
        <v>7</v>
      </c>
      <c r="C334" t="s">
        <v>58</v>
      </c>
      <c r="D334">
        <v>0.33333333333333331</v>
      </c>
      <c r="E334">
        <v>0.66666666666666674</v>
      </c>
      <c r="F334">
        <v>313.14999999999998</v>
      </c>
      <c r="G334">
        <v>503</v>
      </c>
      <c r="H334">
        <f t="shared" si="20"/>
        <v>-4.21</v>
      </c>
      <c r="I334">
        <v>1.4846368338086832E-2</v>
      </c>
      <c r="J334" t="str">
        <f t="shared" si="21"/>
        <v>C[N+](C)(C)CCO.[Cl-]C1=CC=C(C=C1)O</v>
      </c>
      <c r="K334">
        <v>84</v>
      </c>
      <c r="M334">
        <f t="shared" si="22"/>
        <v>5.4037971934950142E-2</v>
      </c>
      <c r="N334">
        <f t="shared" si="23"/>
        <v>-0.3400383077863906</v>
      </c>
    </row>
    <row r="335" spans="1:14" x14ac:dyDescent="0.35">
      <c r="A335">
        <v>333</v>
      </c>
      <c r="B335" t="s">
        <v>7</v>
      </c>
      <c r="C335" t="s">
        <v>58</v>
      </c>
      <c r="D335">
        <v>0.33333333333333331</v>
      </c>
      <c r="E335">
        <v>0.66666666666666674</v>
      </c>
      <c r="F335">
        <v>323.14999999999998</v>
      </c>
      <c r="G335">
        <v>115.2</v>
      </c>
      <c r="H335">
        <f t="shared" si="20"/>
        <v>-6.03</v>
      </c>
      <c r="I335">
        <v>2.4054939786195095E-3</v>
      </c>
      <c r="J335" t="str">
        <f t="shared" si="21"/>
        <v>C[N+](C)(C)CCO.[Cl-]C1=CC=C(C=C1)O</v>
      </c>
      <c r="K335">
        <v>84</v>
      </c>
      <c r="M335">
        <f t="shared" si="22"/>
        <v>0.83775464848239545</v>
      </c>
      <c r="N335">
        <f t="shared" si="23"/>
        <v>-0.55692922108409715</v>
      </c>
    </row>
    <row r="336" spans="1:14" x14ac:dyDescent="0.35">
      <c r="A336">
        <v>334</v>
      </c>
      <c r="B336" t="s">
        <v>7</v>
      </c>
      <c r="C336" t="s">
        <v>58</v>
      </c>
      <c r="D336">
        <v>0.33333333333333331</v>
      </c>
      <c r="E336">
        <v>0.66666666666666674</v>
      </c>
      <c r="F336">
        <v>323.14999999999998</v>
      </c>
      <c r="G336">
        <v>216.5</v>
      </c>
      <c r="H336">
        <f t="shared" si="20"/>
        <v>-5.34</v>
      </c>
      <c r="I336">
        <v>4.7958707102964213E-3</v>
      </c>
      <c r="J336" t="str">
        <f t="shared" si="21"/>
        <v>C[N+](C)(C)CCO.[Cl-]C1=CC=C(C=C1)O</v>
      </c>
      <c r="K336">
        <v>84</v>
      </c>
      <c r="M336">
        <f t="shared" si="22"/>
        <v>0.83775464848239545</v>
      </c>
      <c r="N336">
        <f t="shared" si="23"/>
        <v>-0.50027360087507788</v>
      </c>
    </row>
    <row r="337" spans="1:14" x14ac:dyDescent="0.35">
      <c r="A337">
        <v>335</v>
      </c>
      <c r="B337" t="s">
        <v>7</v>
      </c>
      <c r="C337" t="s">
        <v>58</v>
      </c>
      <c r="D337">
        <v>0.33333333333333331</v>
      </c>
      <c r="E337">
        <v>0.66666666666666674</v>
      </c>
      <c r="F337">
        <v>323.14999999999998</v>
      </c>
      <c r="G337">
        <v>320</v>
      </c>
      <c r="H337">
        <f t="shared" si="20"/>
        <v>-4.9800000000000004</v>
      </c>
      <c r="I337">
        <v>6.8740625574962482E-3</v>
      </c>
      <c r="J337" t="str">
        <f t="shared" si="21"/>
        <v>C[N+](C)(C)CCO.[Cl-]C1=CC=C(C=C1)O</v>
      </c>
      <c r="K337">
        <v>84</v>
      </c>
      <c r="M337">
        <f t="shared" si="22"/>
        <v>0.83775464848239545</v>
      </c>
      <c r="N337">
        <f t="shared" si="23"/>
        <v>-0.44238755258649454</v>
      </c>
    </row>
    <row r="338" spans="1:14" x14ac:dyDescent="0.35">
      <c r="A338">
        <v>336</v>
      </c>
      <c r="B338" t="s">
        <v>7</v>
      </c>
      <c r="C338" t="s">
        <v>58</v>
      </c>
      <c r="D338">
        <v>0.33333333333333331</v>
      </c>
      <c r="E338">
        <v>0.66666666666666674</v>
      </c>
      <c r="F338">
        <v>323.14999999999998</v>
      </c>
      <c r="G338">
        <v>424.8</v>
      </c>
      <c r="H338">
        <f t="shared" si="20"/>
        <v>-4.68</v>
      </c>
      <c r="I338">
        <v>9.2790138870647437E-3</v>
      </c>
      <c r="J338" t="str">
        <f t="shared" si="21"/>
        <v>C[N+](C)(C)CCO.[Cl-]C1=CC=C(C=C1)O</v>
      </c>
      <c r="K338">
        <v>84</v>
      </c>
      <c r="M338">
        <f t="shared" si="22"/>
        <v>0.83775464848239545</v>
      </c>
      <c r="N338">
        <f t="shared" si="23"/>
        <v>-0.38377443315998694</v>
      </c>
    </row>
    <row r="339" spans="1:14" x14ac:dyDescent="0.35">
      <c r="A339">
        <v>337</v>
      </c>
      <c r="B339" t="s">
        <v>7</v>
      </c>
      <c r="C339" t="s">
        <v>58</v>
      </c>
      <c r="D339">
        <v>0.33333333333333331</v>
      </c>
      <c r="E339">
        <v>0.66666666666666674</v>
      </c>
      <c r="F339">
        <v>323.14999999999998</v>
      </c>
      <c r="G339">
        <v>520.20254999999997</v>
      </c>
      <c r="H339">
        <f t="shared" si="20"/>
        <v>-4.4741419235816871</v>
      </c>
      <c r="I339">
        <v>1.14E-2</v>
      </c>
      <c r="J339" t="str">
        <f t="shared" si="21"/>
        <v>C[N+](C)(C)CCO.[Cl-]C1=CC=C(C=C1)O</v>
      </c>
      <c r="K339">
        <v>84</v>
      </c>
      <c r="M339">
        <f t="shared" si="22"/>
        <v>0.83775464848239545</v>
      </c>
      <c r="N339">
        <f t="shared" si="23"/>
        <v>-0.33041717116816094</v>
      </c>
    </row>
    <row r="340" spans="1:14" x14ac:dyDescent="0.35">
      <c r="A340">
        <v>338</v>
      </c>
      <c r="B340" t="s">
        <v>11</v>
      </c>
      <c r="C340" t="s">
        <v>39</v>
      </c>
      <c r="D340">
        <v>0.33333333333333331</v>
      </c>
      <c r="E340">
        <v>0.66666666666666674</v>
      </c>
      <c r="F340">
        <v>298.14999999999998</v>
      </c>
      <c r="G340">
        <v>388</v>
      </c>
      <c r="H340">
        <f t="shared" si="20"/>
        <v>-3.91</v>
      </c>
      <c r="I340">
        <v>2.0040501061684014E-2</v>
      </c>
      <c r="J340" t="str">
        <f t="shared" si="21"/>
        <v>CCCC[N+](CCCC)(CCCC)CCCC.[Br-]CC(=O)O</v>
      </c>
      <c r="K340">
        <v>30</v>
      </c>
      <c r="M340">
        <f t="shared" si="22"/>
        <v>-1.1215370428862177</v>
      </c>
      <c r="N340">
        <f t="shared" si="23"/>
        <v>-0.40435613921814989</v>
      </c>
    </row>
    <row r="341" spans="1:14" x14ac:dyDescent="0.35">
      <c r="A341">
        <v>339</v>
      </c>
      <c r="B341" t="s">
        <v>11</v>
      </c>
      <c r="C341" t="s">
        <v>39</v>
      </c>
      <c r="D341">
        <v>0.33333333333333331</v>
      </c>
      <c r="E341">
        <v>0.66666666666666674</v>
      </c>
      <c r="F341">
        <v>298.14999999999998</v>
      </c>
      <c r="G341">
        <v>715</v>
      </c>
      <c r="H341">
        <f t="shared" si="20"/>
        <v>-2.93</v>
      </c>
      <c r="I341">
        <v>5.3397038145197084E-2</v>
      </c>
      <c r="J341" t="str">
        <f t="shared" si="21"/>
        <v>CCCC[N+](CCCC)(CCCC)CCCC.[Br-]CC(=O)O</v>
      </c>
      <c r="K341">
        <v>30</v>
      </c>
      <c r="M341">
        <f t="shared" si="22"/>
        <v>-1.1215370428862177</v>
      </c>
      <c r="N341">
        <f t="shared" si="23"/>
        <v>-0.22146978375566909</v>
      </c>
    </row>
    <row r="342" spans="1:14" x14ac:dyDescent="0.35">
      <c r="A342">
        <v>340</v>
      </c>
      <c r="B342" t="s">
        <v>11</v>
      </c>
      <c r="C342" t="s">
        <v>39</v>
      </c>
      <c r="D342">
        <v>0.33333333333333331</v>
      </c>
      <c r="E342">
        <v>0.66666666666666674</v>
      </c>
      <c r="F342">
        <v>298.14999999999998</v>
      </c>
      <c r="G342">
        <v>1302</v>
      </c>
      <c r="H342">
        <f t="shared" si="20"/>
        <v>-2.41</v>
      </c>
      <c r="I342">
        <v>8.9815294572247628E-2</v>
      </c>
      <c r="J342" t="str">
        <f t="shared" si="21"/>
        <v>CCCC[N+](CCCC)(CCCC)CCCC.[Br-]CC(=O)O</v>
      </c>
      <c r="K342">
        <v>30</v>
      </c>
      <c r="M342">
        <f t="shared" si="22"/>
        <v>-1.1215370428862177</v>
      </c>
      <c r="N342">
        <f t="shared" si="23"/>
        <v>0.10683079929165887</v>
      </c>
    </row>
    <row r="343" spans="1:14" x14ac:dyDescent="0.35">
      <c r="A343">
        <v>341</v>
      </c>
      <c r="B343" t="s">
        <v>11</v>
      </c>
      <c r="C343" t="s">
        <v>39</v>
      </c>
      <c r="D343">
        <v>0.33333333333333331</v>
      </c>
      <c r="E343">
        <v>0.66666666666666674</v>
      </c>
      <c r="F343">
        <v>298.14999999999998</v>
      </c>
      <c r="G343">
        <v>1730</v>
      </c>
      <c r="H343">
        <f t="shared" si="20"/>
        <v>-2.15</v>
      </c>
      <c r="I343">
        <v>0.11648415777349697</v>
      </c>
      <c r="J343" t="str">
        <f t="shared" si="21"/>
        <v>CCCC[N+](CCCC)(CCCC)CCCC.[Br-]CC(=O)O</v>
      </c>
      <c r="K343">
        <v>30</v>
      </c>
      <c r="M343">
        <f t="shared" si="22"/>
        <v>-1.1215370428862177</v>
      </c>
      <c r="N343">
        <f t="shared" si="23"/>
        <v>0.34620498931594568</v>
      </c>
    </row>
    <row r="344" spans="1:14" x14ac:dyDescent="0.35">
      <c r="A344">
        <v>342</v>
      </c>
      <c r="B344" t="s">
        <v>11</v>
      </c>
      <c r="C344" t="s">
        <v>39</v>
      </c>
      <c r="D344">
        <v>0.33333333333333331</v>
      </c>
      <c r="E344">
        <v>0.66666666666666674</v>
      </c>
      <c r="F344">
        <v>298.14999999999998</v>
      </c>
      <c r="G344">
        <v>2011</v>
      </c>
      <c r="H344">
        <f t="shared" si="20"/>
        <v>-1.94</v>
      </c>
      <c r="I344">
        <v>0.14370394977770293</v>
      </c>
      <c r="J344" t="str">
        <f t="shared" si="21"/>
        <v>CCCC[N+](CCCC)(CCCC)CCCC.[Br-]CC(=O)O</v>
      </c>
      <c r="K344">
        <v>30</v>
      </c>
      <c r="M344">
        <f t="shared" si="22"/>
        <v>-1.1215370428862177</v>
      </c>
      <c r="N344">
        <f t="shared" si="23"/>
        <v>0.50336421220572281</v>
      </c>
    </row>
    <row r="345" spans="1:14" x14ac:dyDescent="0.35">
      <c r="A345">
        <v>343</v>
      </c>
      <c r="B345" t="s">
        <v>12</v>
      </c>
      <c r="C345" t="s">
        <v>70</v>
      </c>
      <c r="D345">
        <v>0.33333333333333331</v>
      </c>
      <c r="E345">
        <v>0.66666666666666674</v>
      </c>
      <c r="F345">
        <v>298.14999999999998</v>
      </c>
      <c r="G345">
        <v>348</v>
      </c>
      <c r="H345">
        <f t="shared" si="20"/>
        <v>-3.73</v>
      </c>
      <c r="I345">
        <v>2.3992835836709175E-2</v>
      </c>
      <c r="J345" t="str">
        <f t="shared" si="21"/>
        <v>CCCC[N+](CCCC)(CCCC)CCCC.[Cl-]CC(=O)O</v>
      </c>
      <c r="K345">
        <v>37</v>
      </c>
      <c r="M345">
        <f t="shared" si="22"/>
        <v>-1.1215370428862177</v>
      </c>
      <c r="N345">
        <f t="shared" si="23"/>
        <v>-0.42672755884658792</v>
      </c>
    </row>
    <row r="346" spans="1:14" x14ac:dyDescent="0.35">
      <c r="A346">
        <v>344</v>
      </c>
      <c r="B346" t="s">
        <v>12</v>
      </c>
      <c r="C346" t="s">
        <v>70</v>
      </c>
      <c r="D346">
        <v>0.33333333333333331</v>
      </c>
      <c r="E346">
        <v>0.66666666666666674</v>
      </c>
      <c r="F346">
        <v>298.14999999999998</v>
      </c>
      <c r="G346">
        <v>631</v>
      </c>
      <c r="H346">
        <f t="shared" si="20"/>
        <v>-3</v>
      </c>
      <c r="I346">
        <v>4.9787068367863944E-2</v>
      </c>
      <c r="J346" t="str">
        <f t="shared" si="21"/>
        <v>CCCC[N+](CCCC)(CCCC)CCCC.[Cl-]CC(=O)O</v>
      </c>
      <c r="K346">
        <v>37</v>
      </c>
      <c r="M346">
        <f t="shared" si="22"/>
        <v>-1.1215370428862177</v>
      </c>
      <c r="N346">
        <f t="shared" si="23"/>
        <v>-0.26844976497538892</v>
      </c>
    </row>
    <row r="347" spans="1:14" x14ac:dyDescent="0.35">
      <c r="A347">
        <v>345</v>
      </c>
      <c r="B347" t="s">
        <v>12</v>
      </c>
      <c r="C347" t="s">
        <v>70</v>
      </c>
      <c r="D347">
        <v>0.33333333333333331</v>
      </c>
      <c r="E347">
        <v>0.66666666666666674</v>
      </c>
      <c r="F347">
        <v>298.14999999999998</v>
      </c>
      <c r="G347">
        <v>943</v>
      </c>
      <c r="H347">
        <f t="shared" si="20"/>
        <v>-2.59</v>
      </c>
      <c r="I347">
        <v>7.5020040085326978E-2</v>
      </c>
      <c r="J347" t="str">
        <f t="shared" si="21"/>
        <v>CCCC[N+](CCCC)(CCCC)CCCC.[Cl-]CC(=O)O</v>
      </c>
      <c r="K347">
        <v>37</v>
      </c>
      <c r="M347">
        <f t="shared" si="22"/>
        <v>-1.1215370428862177</v>
      </c>
      <c r="N347">
        <f t="shared" si="23"/>
        <v>-9.3952691873572372E-2</v>
      </c>
    </row>
    <row r="348" spans="1:14" x14ac:dyDescent="0.35">
      <c r="A348">
        <v>346</v>
      </c>
      <c r="B348" t="s">
        <v>12</v>
      </c>
      <c r="C348" t="s">
        <v>70</v>
      </c>
      <c r="D348">
        <v>0.33333333333333331</v>
      </c>
      <c r="E348">
        <v>0.66666666666666674</v>
      </c>
      <c r="F348">
        <v>298.14999999999998</v>
      </c>
      <c r="G348">
        <v>1319</v>
      </c>
      <c r="H348">
        <f t="shared" si="20"/>
        <v>-2.2599999999999998</v>
      </c>
      <c r="I348">
        <v>0.10435048475476504</v>
      </c>
      <c r="J348" t="str">
        <f t="shared" si="21"/>
        <v>CCCC[N+](CCCC)(CCCC)CCCC.[Cl-]CC(=O)O</v>
      </c>
      <c r="K348">
        <v>37</v>
      </c>
      <c r="M348">
        <f t="shared" si="22"/>
        <v>-1.1215370428862177</v>
      </c>
      <c r="N348">
        <f t="shared" si="23"/>
        <v>0.11633865263374503</v>
      </c>
    </row>
    <row r="349" spans="1:14" x14ac:dyDescent="0.35">
      <c r="A349">
        <v>347</v>
      </c>
      <c r="B349" t="s">
        <v>12</v>
      </c>
      <c r="C349" t="s">
        <v>70</v>
      </c>
      <c r="D349">
        <v>0.33333333333333331</v>
      </c>
      <c r="E349">
        <v>0.66666666666666674</v>
      </c>
      <c r="F349">
        <v>298.14999999999998</v>
      </c>
      <c r="G349">
        <v>1673</v>
      </c>
      <c r="H349">
        <f t="shared" si="20"/>
        <v>-1.99</v>
      </c>
      <c r="I349">
        <v>0.13669542544552385</v>
      </c>
      <c r="J349" t="str">
        <f t="shared" si="21"/>
        <v>CCCC[N+](CCCC)(CCCC)CCCC.[Cl-]CC(=O)O</v>
      </c>
      <c r="K349">
        <v>37</v>
      </c>
      <c r="M349">
        <f t="shared" si="22"/>
        <v>-1.1215370428862177</v>
      </c>
      <c r="N349">
        <f t="shared" si="23"/>
        <v>0.3143257163454215</v>
      </c>
    </row>
    <row r="350" spans="1:14" x14ac:dyDescent="0.35">
      <c r="A350">
        <v>348</v>
      </c>
      <c r="B350" t="s">
        <v>12</v>
      </c>
      <c r="C350" t="s">
        <v>70</v>
      </c>
      <c r="D350">
        <v>0.33333333333333331</v>
      </c>
      <c r="E350">
        <v>0.66666666666666674</v>
      </c>
      <c r="F350">
        <v>298.14999999999998</v>
      </c>
      <c r="G350">
        <v>2002</v>
      </c>
      <c r="H350">
        <f t="shared" si="20"/>
        <v>-1.84</v>
      </c>
      <c r="I350">
        <v>0.15881742610692068</v>
      </c>
      <c r="J350" t="str">
        <f t="shared" si="21"/>
        <v>CCCC[N+](CCCC)(CCCC)CCCC.[Cl-]CC(=O)O</v>
      </c>
      <c r="K350">
        <v>37</v>
      </c>
      <c r="M350">
        <f t="shared" si="22"/>
        <v>-1.1215370428862177</v>
      </c>
      <c r="N350">
        <f t="shared" si="23"/>
        <v>0.49833064278932426</v>
      </c>
    </row>
    <row r="351" spans="1:14" x14ac:dyDescent="0.35">
      <c r="A351">
        <v>349</v>
      </c>
      <c r="B351" t="s">
        <v>15</v>
      </c>
      <c r="C351" t="s">
        <v>70</v>
      </c>
      <c r="D351">
        <v>0.33333333333333331</v>
      </c>
      <c r="E351">
        <v>0.66666666666666674</v>
      </c>
      <c r="F351">
        <v>298.14999999999998</v>
      </c>
      <c r="G351">
        <v>281</v>
      </c>
      <c r="H351">
        <f t="shared" si="20"/>
        <v>-3.65</v>
      </c>
      <c r="I351">
        <v>2.5991128778755347E-2</v>
      </c>
      <c r="J351" t="str">
        <f t="shared" si="21"/>
        <v>CC[N+](CC)(CC)CC.[Cl-]CC(=O)O</v>
      </c>
      <c r="K351">
        <v>55</v>
      </c>
      <c r="M351">
        <f t="shared" si="22"/>
        <v>-1.1215370428862177</v>
      </c>
      <c r="N351">
        <f t="shared" si="23"/>
        <v>-0.46419968672422163</v>
      </c>
    </row>
    <row r="352" spans="1:14" x14ac:dyDescent="0.35">
      <c r="A352">
        <v>350</v>
      </c>
      <c r="B352" t="s">
        <v>15</v>
      </c>
      <c r="C352" t="s">
        <v>70</v>
      </c>
      <c r="D352">
        <v>0.33333333333333331</v>
      </c>
      <c r="E352">
        <v>0.66666666666666674</v>
      </c>
      <c r="F352">
        <v>298.14999999999998</v>
      </c>
      <c r="G352">
        <v>530</v>
      </c>
      <c r="H352">
        <f t="shared" si="20"/>
        <v>-3.04</v>
      </c>
      <c r="I352">
        <v>4.7834889494198368E-2</v>
      </c>
      <c r="J352" t="str">
        <f t="shared" si="21"/>
        <v>CC[N+](CC)(CC)CC.[Cl-]CC(=O)O</v>
      </c>
      <c r="K352">
        <v>55</v>
      </c>
      <c r="M352">
        <f t="shared" si="22"/>
        <v>-1.1215370428862177</v>
      </c>
      <c r="N352">
        <f t="shared" si="23"/>
        <v>-0.32493759953719492</v>
      </c>
    </row>
    <row r="353" spans="1:14" x14ac:dyDescent="0.35">
      <c r="A353">
        <v>351</v>
      </c>
      <c r="B353" t="s">
        <v>15</v>
      </c>
      <c r="C353" t="s">
        <v>70</v>
      </c>
      <c r="D353">
        <v>0.33333333333333331</v>
      </c>
      <c r="E353">
        <v>0.66666666666666674</v>
      </c>
      <c r="F353">
        <v>298.14999999999998</v>
      </c>
      <c r="G353">
        <v>822</v>
      </c>
      <c r="H353">
        <f t="shared" si="20"/>
        <v>-2.62</v>
      </c>
      <c r="I353">
        <v>7.2802862827435588E-2</v>
      </c>
      <c r="J353" t="str">
        <f t="shared" si="21"/>
        <v>CC[N+](CC)(CC)CC.[Cl-]CC(=O)O</v>
      </c>
      <c r="K353">
        <v>55</v>
      </c>
      <c r="M353">
        <f t="shared" si="22"/>
        <v>-1.1215370428862177</v>
      </c>
      <c r="N353">
        <f t="shared" si="23"/>
        <v>-0.16162623624959738</v>
      </c>
    </row>
    <row r="354" spans="1:14" x14ac:dyDescent="0.35">
      <c r="A354">
        <v>352</v>
      </c>
      <c r="B354" t="s">
        <v>15</v>
      </c>
      <c r="C354" t="s">
        <v>70</v>
      </c>
      <c r="D354">
        <v>0.33333333333333331</v>
      </c>
      <c r="E354">
        <v>0.66666666666666674</v>
      </c>
      <c r="F354">
        <v>298.14999999999998</v>
      </c>
      <c r="G354">
        <v>1304</v>
      </c>
      <c r="H354">
        <f t="shared" si="20"/>
        <v>-2.2000000000000002</v>
      </c>
      <c r="I354">
        <v>0.11080315836233387</v>
      </c>
      <c r="J354" t="str">
        <f t="shared" si="21"/>
        <v>CC[N+](CC)(CC)CC.[Cl-]CC(=O)O</v>
      </c>
      <c r="K354">
        <v>55</v>
      </c>
      <c r="M354">
        <f t="shared" si="22"/>
        <v>-1.1215370428862177</v>
      </c>
      <c r="N354">
        <f t="shared" si="23"/>
        <v>0.10794937027308077</v>
      </c>
    </row>
    <row r="355" spans="1:14" x14ac:dyDescent="0.35">
      <c r="A355">
        <v>353</v>
      </c>
      <c r="B355" t="s">
        <v>15</v>
      </c>
      <c r="C355" t="s">
        <v>70</v>
      </c>
      <c r="D355">
        <v>0.33333333333333331</v>
      </c>
      <c r="E355">
        <v>0.66666666666666674</v>
      </c>
      <c r="F355">
        <v>298.14999999999998</v>
      </c>
      <c r="G355">
        <v>1699</v>
      </c>
      <c r="H355">
        <f t="shared" si="20"/>
        <v>-1.97</v>
      </c>
      <c r="I355">
        <v>0.13945685621505094</v>
      </c>
      <c r="J355" t="str">
        <f t="shared" si="21"/>
        <v>CC[N+](CC)(CC)CC.[Cl-]CC(=O)O</v>
      </c>
      <c r="K355">
        <v>55</v>
      </c>
      <c r="M355">
        <f t="shared" si="22"/>
        <v>-1.1215370428862177</v>
      </c>
      <c r="N355">
        <f t="shared" si="23"/>
        <v>0.32886713910390625</v>
      </c>
    </row>
    <row r="356" spans="1:14" x14ac:dyDescent="0.35">
      <c r="A356">
        <v>354</v>
      </c>
      <c r="B356" t="s">
        <v>15</v>
      </c>
      <c r="C356" t="s">
        <v>70</v>
      </c>
      <c r="D356">
        <v>0.33333333333333331</v>
      </c>
      <c r="E356">
        <v>0.66666666666666674</v>
      </c>
      <c r="F356">
        <v>298.14999999999998</v>
      </c>
      <c r="G356">
        <v>2018</v>
      </c>
      <c r="H356">
        <f t="shared" si="20"/>
        <v>-1.82</v>
      </c>
      <c r="I356">
        <v>0.16202575093388075</v>
      </c>
      <c r="J356" t="str">
        <f t="shared" si="21"/>
        <v>CC[N+](CC)(CC)CC.[Cl-]CC(=O)O</v>
      </c>
      <c r="K356">
        <v>55</v>
      </c>
      <c r="M356">
        <f t="shared" si="22"/>
        <v>-1.1215370428862177</v>
      </c>
      <c r="N356">
        <f t="shared" si="23"/>
        <v>0.50727921064069947</v>
      </c>
    </row>
    <row r="357" spans="1:14" x14ac:dyDescent="0.35">
      <c r="A357">
        <v>355</v>
      </c>
      <c r="B357" t="s">
        <v>12</v>
      </c>
      <c r="C357" t="s">
        <v>71</v>
      </c>
      <c r="D357">
        <v>0.33333333333333331</v>
      </c>
      <c r="E357">
        <v>0.66666666666666674</v>
      </c>
      <c r="F357">
        <v>308</v>
      </c>
      <c r="G357">
        <v>93</v>
      </c>
      <c r="H357">
        <f t="shared" si="20"/>
        <v>-5.18</v>
      </c>
      <c r="I357">
        <v>5.6280064144040654E-3</v>
      </c>
      <c r="J357" t="str">
        <f t="shared" si="21"/>
        <v>CCCC[N+](CCCC)(CCCC)CCCC.[Cl-]CC(C(=O)O)O</v>
      </c>
      <c r="K357">
        <v>38</v>
      </c>
      <c r="M357">
        <f t="shared" si="22"/>
        <v>-0.34957611648698239</v>
      </c>
      <c r="N357">
        <f t="shared" si="23"/>
        <v>-0.5693453589778803</v>
      </c>
    </row>
    <row r="358" spans="1:14" x14ac:dyDescent="0.35">
      <c r="A358">
        <v>356</v>
      </c>
      <c r="B358" t="s">
        <v>12</v>
      </c>
      <c r="C358" t="s">
        <v>71</v>
      </c>
      <c r="D358">
        <v>0.33333333333333331</v>
      </c>
      <c r="E358">
        <v>0.66666666666666674</v>
      </c>
      <c r="F358">
        <v>308</v>
      </c>
      <c r="G358">
        <v>194</v>
      </c>
      <c r="H358">
        <f t="shared" si="20"/>
        <v>-4.3499999999999996</v>
      </c>
      <c r="I358">
        <v>1.2906812580479873E-2</v>
      </c>
      <c r="J358" t="str">
        <f t="shared" si="21"/>
        <v>CCCC[N+](CCCC)(CCCC)CCCC.[Cl-]CC(C(=O)O)O</v>
      </c>
      <c r="K358">
        <v>38</v>
      </c>
      <c r="M358">
        <f t="shared" si="22"/>
        <v>-0.34957611648698239</v>
      </c>
      <c r="N358">
        <f t="shared" si="23"/>
        <v>-0.51285752441607435</v>
      </c>
    </row>
    <row r="359" spans="1:14" x14ac:dyDescent="0.35">
      <c r="A359">
        <v>357</v>
      </c>
      <c r="B359" t="s">
        <v>12</v>
      </c>
      <c r="C359" t="s">
        <v>71</v>
      </c>
      <c r="D359">
        <v>0.33333333333333331</v>
      </c>
      <c r="E359">
        <v>0.66666666666666674</v>
      </c>
      <c r="F359">
        <v>308</v>
      </c>
      <c r="G359">
        <v>293</v>
      </c>
      <c r="H359">
        <f t="shared" si="20"/>
        <v>-3.91</v>
      </c>
      <c r="I359">
        <v>2.0040501061684014E-2</v>
      </c>
      <c r="J359" t="str">
        <f t="shared" si="21"/>
        <v>CCCC[N+](CCCC)(CCCC)CCCC.[Cl-]CC(C(=O)O)O</v>
      </c>
      <c r="K359">
        <v>38</v>
      </c>
      <c r="M359">
        <f t="shared" si="22"/>
        <v>-0.34957611648698239</v>
      </c>
      <c r="N359">
        <f t="shared" si="23"/>
        <v>-0.45748826083569022</v>
      </c>
    </row>
    <row r="360" spans="1:14" x14ac:dyDescent="0.35">
      <c r="A360">
        <v>358</v>
      </c>
      <c r="B360" t="s">
        <v>12</v>
      </c>
      <c r="C360" t="s">
        <v>71</v>
      </c>
      <c r="D360">
        <v>0.33333333333333331</v>
      </c>
      <c r="E360">
        <v>0.66666666666666674</v>
      </c>
      <c r="F360">
        <v>308</v>
      </c>
      <c r="G360">
        <v>392</v>
      </c>
      <c r="H360">
        <f t="shared" si="20"/>
        <v>-3.6230917135759331</v>
      </c>
      <c r="I360">
        <v>2.6700000000000002E-2</v>
      </c>
      <c r="J360" t="str">
        <f t="shared" si="21"/>
        <v>CCCC[N+](CCCC)(CCCC)CCCC.[Cl-]CC(C(=O)O)O</v>
      </c>
      <c r="K360">
        <v>38</v>
      </c>
      <c r="M360">
        <f t="shared" si="22"/>
        <v>-0.34957611648698239</v>
      </c>
      <c r="N360">
        <f t="shared" si="23"/>
        <v>-0.40211899725530609</v>
      </c>
    </row>
    <row r="361" spans="1:14" x14ac:dyDescent="0.35">
      <c r="A361">
        <v>359</v>
      </c>
      <c r="B361" t="s">
        <v>12</v>
      </c>
      <c r="C361" t="s">
        <v>71</v>
      </c>
      <c r="D361">
        <v>0.33333333333333331</v>
      </c>
      <c r="E361">
        <v>0.66666666666666674</v>
      </c>
      <c r="F361">
        <v>308</v>
      </c>
      <c r="G361">
        <v>493</v>
      </c>
      <c r="H361">
        <f t="shared" si="20"/>
        <v>-3.4052054030596941</v>
      </c>
      <c r="I361">
        <v>3.32E-2</v>
      </c>
      <c r="J361" t="str">
        <f t="shared" si="21"/>
        <v>CCCC[N+](CCCC)(CCCC)CCCC.[Cl-]CC(C(=O)O)O</v>
      </c>
      <c r="K361">
        <v>38</v>
      </c>
      <c r="M361">
        <f t="shared" si="22"/>
        <v>-0.34957611648698239</v>
      </c>
      <c r="N361">
        <f t="shared" si="23"/>
        <v>-0.34563116269350008</v>
      </c>
    </row>
    <row r="362" spans="1:14" x14ac:dyDescent="0.35">
      <c r="A362">
        <v>360</v>
      </c>
      <c r="B362" t="s">
        <v>12</v>
      </c>
      <c r="C362" t="s">
        <v>71</v>
      </c>
      <c r="D362">
        <v>0.33333333333333331</v>
      </c>
      <c r="E362">
        <v>0.66666666666666674</v>
      </c>
      <c r="F362">
        <v>308</v>
      </c>
      <c r="G362">
        <v>793</v>
      </c>
      <c r="H362">
        <f t="shared" si="20"/>
        <v>-2.927513034576847</v>
      </c>
      <c r="I362">
        <v>5.3530000000000001E-2</v>
      </c>
      <c r="J362" t="str">
        <f t="shared" si="21"/>
        <v>CCCC[N+](CCCC)(CCCC)CCCC.[Cl-]CC(C(=O)O)O</v>
      </c>
      <c r="K362">
        <v>38</v>
      </c>
      <c r="M362">
        <f t="shared" si="22"/>
        <v>-0.34957611648698239</v>
      </c>
      <c r="N362">
        <f t="shared" si="23"/>
        <v>-0.17784551548021496</v>
      </c>
    </row>
    <row r="363" spans="1:14" x14ac:dyDescent="0.35">
      <c r="A363">
        <v>361</v>
      </c>
      <c r="B363" t="s">
        <v>12</v>
      </c>
      <c r="C363" t="s">
        <v>71</v>
      </c>
      <c r="D363">
        <v>0.33333333333333331</v>
      </c>
      <c r="E363">
        <v>0.66666666666666674</v>
      </c>
      <c r="F363">
        <v>308</v>
      </c>
      <c r="G363">
        <v>892</v>
      </c>
      <c r="H363">
        <f t="shared" si="20"/>
        <v>-2.816415225780335</v>
      </c>
      <c r="I363">
        <v>5.9819999999999998E-2</v>
      </c>
      <c r="J363" t="str">
        <f t="shared" si="21"/>
        <v>CCCC[N+](CCCC)(CCCC)CCCC.[Cl-]CC(C(=O)O)O</v>
      </c>
      <c r="K363">
        <v>38</v>
      </c>
      <c r="M363">
        <f t="shared" si="22"/>
        <v>-0.34957611648698239</v>
      </c>
      <c r="N363">
        <f t="shared" si="23"/>
        <v>-0.12247625189983084</v>
      </c>
    </row>
    <row r="364" spans="1:14" x14ac:dyDescent="0.35">
      <c r="A364">
        <v>362</v>
      </c>
      <c r="B364" t="s">
        <v>12</v>
      </c>
      <c r="C364" t="s">
        <v>71</v>
      </c>
      <c r="D364">
        <v>0.33333333333333331</v>
      </c>
      <c r="E364">
        <v>0.66666666666666674</v>
      </c>
      <c r="F364">
        <v>308</v>
      </c>
      <c r="G364">
        <v>993</v>
      </c>
      <c r="H364">
        <f t="shared" si="20"/>
        <v>-2.7129622454632307</v>
      </c>
      <c r="I364">
        <v>6.6339999999999996E-2</v>
      </c>
      <c r="J364" t="str">
        <f t="shared" si="21"/>
        <v>CCCC[N+](CCCC)(CCCC)CCCC.[Cl-]CC(C(=O)O)O</v>
      </c>
      <c r="K364">
        <v>38</v>
      </c>
      <c r="M364">
        <f t="shared" si="22"/>
        <v>-0.34957611648698239</v>
      </c>
      <c r="N364">
        <f t="shared" si="23"/>
        <v>-6.5988417338024838E-2</v>
      </c>
    </row>
    <row r="365" spans="1:14" x14ac:dyDescent="0.35">
      <c r="A365">
        <v>363</v>
      </c>
      <c r="B365" t="s">
        <v>12</v>
      </c>
      <c r="C365" t="s">
        <v>71</v>
      </c>
      <c r="D365">
        <v>0.33333333333333331</v>
      </c>
      <c r="E365">
        <v>0.66666666666666674</v>
      </c>
      <c r="F365">
        <v>308</v>
      </c>
      <c r="G365">
        <v>1292</v>
      </c>
      <c r="H365">
        <f t="shared" si="20"/>
        <v>-2.4626364811422725</v>
      </c>
      <c r="I365">
        <v>8.5209999999999994E-2</v>
      </c>
      <c r="J365" t="str">
        <f t="shared" si="21"/>
        <v>CCCC[N+](CCCC)(CCCC)CCCC.[Cl-]CC(C(=O)O)O</v>
      </c>
      <c r="K365">
        <v>38</v>
      </c>
      <c r="M365">
        <f t="shared" si="22"/>
        <v>-0.34957611648698239</v>
      </c>
      <c r="N365">
        <f t="shared" si="23"/>
        <v>0.10123794438454936</v>
      </c>
    </row>
    <row r="366" spans="1:14" x14ac:dyDescent="0.35">
      <c r="A366">
        <v>364</v>
      </c>
      <c r="B366" t="s">
        <v>12</v>
      </c>
      <c r="C366" t="s">
        <v>71</v>
      </c>
      <c r="D366">
        <v>0.33333333333333331</v>
      </c>
      <c r="E366">
        <v>0.66666666666666674</v>
      </c>
      <c r="F366">
        <v>308</v>
      </c>
      <c r="G366">
        <v>1393</v>
      </c>
      <c r="H366">
        <f t="shared" si="20"/>
        <v>-2.3963464728085202</v>
      </c>
      <c r="I366">
        <v>9.1050000000000006E-2</v>
      </c>
      <c r="J366" t="str">
        <f t="shared" si="21"/>
        <v>CCCC[N+](CCCC)(CCCC)CCCC.[Cl-]CC(C(=O)O)O</v>
      </c>
      <c r="K366">
        <v>38</v>
      </c>
      <c r="M366">
        <f t="shared" si="22"/>
        <v>-0.34957611648698239</v>
      </c>
      <c r="N366">
        <f t="shared" si="23"/>
        <v>0.15772577894635537</v>
      </c>
    </row>
    <row r="367" spans="1:14" x14ac:dyDescent="0.35">
      <c r="A367">
        <v>365</v>
      </c>
      <c r="B367" t="s">
        <v>12</v>
      </c>
      <c r="C367" t="s">
        <v>71</v>
      </c>
      <c r="D367">
        <v>0.33333333333333331</v>
      </c>
      <c r="E367">
        <v>0.66666666666666674</v>
      </c>
      <c r="F367">
        <v>308</v>
      </c>
      <c r="G367">
        <v>1493</v>
      </c>
      <c r="H367">
        <f t="shared" si="20"/>
        <v>-2.3234002327079657</v>
      </c>
      <c r="I367">
        <v>9.7939999999999999E-2</v>
      </c>
      <c r="J367" t="str">
        <f t="shared" si="21"/>
        <v>CCCC[N+](CCCC)(CCCC)CCCC.[Cl-]CC(C(=O)O)O</v>
      </c>
      <c r="K367">
        <v>38</v>
      </c>
      <c r="M367">
        <f t="shared" si="22"/>
        <v>-0.34957611648698239</v>
      </c>
      <c r="N367">
        <f t="shared" si="23"/>
        <v>0.21365432801745041</v>
      </c>
    </row>
    <row r="368" spans="1:14" x14ac:dyDescent="0.35">
      <c r="A368">
        <v>366</v>
      </c>
      <c r="B368" t="s">
        <v>12</v>
      </c>
      <c r="C368" t="s">
        <v>71</v>
      </c>
      <c r="D368">
        <v>0.33333333333333331</v>
      </c>
      <c r="E368">
        <v>0.66666666666666674</v>
      </c>
      <c r="F368">
        <v>308</v>
      </c>
      <c r="G368">
        <v>1793</v>
      </c>
      <c r="H368">
        <f t="shared" si="20"/>
        <v>-2.1544237420135253</v>
      </c>
      <c r="I368">
        <v>0.11597</v>
      </c>
      <c r="J368" t="str">
        <f t="shared" si="21"/>
        <v>CCCC[N+](CCCC)(CCCC)CCCC.[Cl-]CC(C(=O)O)O</v>
      </c>
      <c r="K368">
        <v>38</v>
      </c>
      <c r="M368">
        <f t="shared" si="22"/>
        <v>-0.34957611648698239</v>
      </c>
      <c r="N368">
        <f t="shared" si="23"/>
        <v>0.38143997523073558</v>
      </c>
    </row>
    <row r="369" spans="1:14" x14ac:dyDescent="0.35">
      <c r="A369">
        <v>367</v>
      </c>
      <c r="B369" t="s">
        <v>12</v>
      </c>
      <c r="C369" t="s">
        <v>71</v>
      </c>
      <c r="D369">
        <v>0.33333333333333331</v>
      </c>
      <c r="E369">
        <v>0.66666666666666674</v>
      </c>
      <c r="F369">
        <v>308</v>
      </c>
      <c r="G369">
        <v>1893</v>
      </c>
      <c r="H369">
        <f t="shared" si="20"/>
        <v>-2.1090763468095268</v>
      </c>
      <c r="I369">
        <v>0.12135</v>
      </c>
      <c r="J369" t="str">
        <f t="shared" si="21"/>
        <v>CCCC[N+](CCCC)(CCCC)CCCC.[Cl-]CC(C(=O)O)O</v>
      </c>
      <c r="K369">
        <v>38</v>
      </c>
      <c r="M369">
        <f t="shared" si="22"/>
        <v>-0.34957611648698239</v>
      </c>
      <c r="N369">
        <f t="shared" si="23"/>
        <v>0.43736852430183065</v>
      </c>
    </row>
    <row r="370" spans="1:14" x14ac:dyDescent="0.35">
      <c r="A370">
        <v>368</v>
      </c>
      <c r="B370" t="s">
        <v>12</v>
      </c>
      <c r="C370" t="s">
        <v>71</v>
      </c>
      <c r="D370">
        <v>0.33333333333333331</v>
      </c>
      <c r="E370">
        <v>0.66666666666666674</v>
      </c>
      <c r="F370">
        <v>308</v>
      </c>
      <c r="G370">
        <v>1992</v>
      </c>
      <c r="H370">
        <f t="shared" si="20"/>
        <v>-2.0618374077314789</v>
      </c>
      <c r="I370">
        <v>0.12722</v>
      </c>
      <c r="J370" t="str">
        <f t="shared" si="21"/>
        <v>CCCC[N+](CCCC)(CCCC)CCCC.[Cl-]CC(C(=O)O)O</v>
      </c>
      <c r="K370">
        <v>38</v>
      </c>
      <c r="M370">
        <f t="shared" si="22"/>
        <v>-0.34957611648698239</v>
      </c>
      <c r="N370">
        <f t="shared" si="23"/>
        <v>0.49273778788221473</v>
      </c>
    </row>
    <row r="371" spans="1:14" x14ac:dyDescent="0.35">
      <c r="A371">
        <v>369</v>
      </c>
      <c r="B371" t="s">
        <v>12</v>
      </c>
      <c r="C371" t="s">
        <v>71</v>
      </c>
      <c r="D371">
        <v>0.33333333333333331</v>
      </c>
      <c r="E371">
        <v>0.66666666666666674</v>
      </c>
      <c r="F371">
        <v>318</v>
      </c>
      <c r="G371">
        <v>93</v>
      </c>
      <c r="H371">
        <f t="shared" si="20"/>
        <v>-5.1533515962978509</v>
      </c>
      <c r="I371">
        <v>5.7800000000000004E-3</v>
      </c>
      <c r="J371" t="str">
        <f t="shared" si="21"/>
        <v>CCCC[N+](CCCC)(CCCC)CCCC.[Cl-]CC(C(=O)O)O</v>
      </c>
      <c r="K371">
        <v>38</v>
      </c>
      <c r="M371">
        <f t="shared" si="22"/>
        <v>0.43414056006046287</v>
      </c>
      <c r="N371">
        <f t="shared" si="23"/>
        <v>-0.5693453589778803</v>
      </c>
    </row>
    <row r="372" spans="1:14" x14ac:dyDescent="0.35">
      <c r="A372">
        <v>370</v>
      </c>
      <c r="B372" t="s">
        <v>12</v>
      </c>
      <c r="C372" t="s">
        <v>71</v>
      </c>
      <c r="D372">
        <v>0.33333333333333331</v>
      </c>
      <c r="E372">
        <v>0.66666666666666674</v>
      </c>
      <c r="F372">
        <v>318</v>
      </c>
      <c r="G372">
        <v>194</v>
      </c>
      <c r="H372">
        <f t="shared" si="20"/>
        <v>-2.1498640059763816</v>
      </c>
      <c r="I372">
        <v>0.11650000000000001</v>
      </c>
      <c r="J372" t="str">
        <f t="shared" si="21"/>
        <v>CCCC[N+](CCCC)(CCCC)CCCC.[Cl-]CC(C(=O)O)O</v>
      </c>
      <c r="K372">
        <v>38</v>
      </c>
      <c r="M372">
        <f t="shared" si="22"/>
        <v>0.43414056006046287</v>
      </c>
      <c r="N372">
        <f t="shared" si="23"/>
        <v>-0.51285752441607435</v>
      </c>
    </row>
    <row r="373" spans="1:14" x14ac:dyDescent="0.35">
      <c r="A373">
        <v>371</v>
      </c>
      <c r="B373" t="s">
        <v>12</v>
      </c>
      <c r="C373" t="s">
        <v>71</v>
      </c>
      <c r="D373">
        <v>0.33333333333333331</v>
      </c>
      <c r="E373">
        <v>0.66666666666666674</v>
      </c>
      <c r="F373">
        <v>318</v>
      </c>
      <c r="G373">
        <v>293</v>
      </c>
      <c r="H373">
        <f t="shared" si="20"/>
        <v>-1.7737231067419565</v>
      </c>
      <c r="I373">
        <v>0.16969999999999999</v>
      </c>
      <c r="J373" t="str">
        <f t="shared" si="21"/>
        <v>CCCC[N+](CCCC)(CCCC)CCCC.[Cl-]CC(C(=O)O)O</v>
      </c>
      <c r="K373">
        <v>38</v>
      </c>
      <c r="M373">
        <f t="shared" si="22"/>
        <v>0.43414056006046287</v>
      </c>
      <c r="N373">
        <f t="shared" si="23"/>
        <v>-0.45748826083569022</v>
      </c>
    </row>
    <row r="374" spans="1:14" x14ac:dyDescent="0.35">
      <c r="A374">
        <v>372</v>
      </c>
      <c r="B374" t="s">
        <v>12</v>
      </c>
      <c r="C374" t="s">
        <v>71</v>
      </c>
      <c r="D374">
        <v>0.33333333333333331</v>
      </c>
      <c r="E374">
        <v>0.66666666666666674</v>
      </c>
      <c r="F374">
        <v>318</v>
      </c>
      <c r="G374">
        <v>393</v>
      </c>
      <c r="H374">
        <f t="shared" si="20"/>
        <v>-3.7683556556157329</v>
      </c>
      <c r="I374">
        <v>2.3089999999999999E-2</v>
      </c>
      <c r="J374" t="str">
        <f t="shared" si="21"/>
        <v>CCCC[N+](CCCC)(CCCC)CCCC.[Cl-]CC(C(=O)O)O</v>
      </c>
      <c r="K374">
        <v>38</v>
      </c>
      <c r="M374">
        <f t="shared" si="22"/>
        <v>0.43414056006046287</v>
      </c>
      <c r="N374">
        <f t="shared" si="23"/>
        <v>-0.40155971176459515</v>
      </c>
    </row>
    <row r="375" spans="1:14" x14ac:dyDescent="0.35">
      <c r="A375">
        <v>373</v>
      </c>
      <c r="B375" t="s">
        <v>12</v>
      </c>
      <c r="C375" t="s">
        <v>71</v>
      </c>
      <c r="D375">
        <v>0.33333333333333331</v>
      </c>
      <c r="E375">
        <v>0.66666666666666674</v>
      </c>
      <c r="F375">
        <v>318</v>
      </c>
      <c r="G375">
        <v>492</v>
      </c>
      <c r="H375">
        <f t="shared" si="20"/>
        <v>-3.5370171048046903</v>
      </c>
      <c r="I375">
        <v>2.9100000000000001E-2</v>
      </c>
      <c r="J375" t="str">
        <f t="shared" si="21"/>
        <v>CCCC[N+](CCCC)(CCCC)CCCC.[Cl-]CC(C(=O)O)O</v>
      </c>
      <c r="K375">
        <v>38</v>
      </c>
      <c r="M375">
        <f t="shared" si="22"/>
        <v>0.43414056006046287</v>
      </c>
      <c r="N375">
        <f t="shared" si="23"/>
        <v>-0.34619044818421107</v>
      </c>
    </row>
    <row r="376" spans="1:14" x14ac:dyDescent="0.35">
      <c r="A376">
        <v>374</v>
      </c>
      <c r="B376" t="s">
        <v>12</v>
      </c>
      <c r="C376" t="s">
        <v>71</v>
      </c>
      <c r="D376">
        <v>0.33333333333333331</v>
      </c>
      <c r="E376">
        <v>0.66666666666666674</v>
      </c>
      <c r="F376">
        <v>318</v>
      </c>
      <c r="G376">
        <v>793</v>
      </c>
      <c r="H376">
        <f t="shared" si="20"/>
        <v>-3.0683029663888264</v>
      </c>
      <c r="I376">
        <v>4.65E-2</v>
      </c>
      <c r="J376" t="str">
        <f t="shared" si="21"/>
        <v>CCCC[N+](CCCC)(CCCC)CCCC.[Cl-]CC(C(=O)O)O</v>
      </c>
      <c r="K376">
        <v>38</v>
      </c>
      <c r="M376">
        <f t="shared" si="22"/>
        <v>0.43414056006046287</v>
      </c>
      <c r="N376">
        <f t="shared" si="23"/>
        <v>-0.17784551548021496</v>
      </c>
    </row>
    <row r="377" spans="1:14" x14ac:dyDescent="0.35">
      <c r="A377">
        <v>375</v>
      </c>
      <c r="B377" t="s">
        <v>12</v>
      </c>
      <c r="C377" t="s">
        <v>71</v>
      </c>
      <c r="D377">
        <v>0.33333333333333331</v>
      </c>
      <c r="E377">
        <v>0.66666666666666674</v>
      </c>
      <c r="F377">
        <v>318</v>
      </c>
      <c r="G377">
        <v>893</v>
      </c>
      <c r="H377">
        <f t="shared" si="20"/>
        <v>-2.9545903302228158</v>
      </c>
      <c r="I377">
        <v>5.21E-2</v>
      </c>
      <c r="J377" t="str">
        <f t="shared" si="21"/>
        <v>CCCC[N+](CCCC)(CCCC)CCCC.[Cl-]CC(C(=O)O)O</v>
      </c>
      <c r="K377">
        <v>38</v>
      </c>
      <c r="M377">
        <f t="shared" si="22"/>
        <v>0.43414056006046287</v>
      </c>
      <c r="N377">
        <f t="shared" si="23"/>
        <v>-0.12191696640911989</v>
      </c>
    </row>
    <row r="378" spans="1:14" x14ac:dyDescent="0.35">
      <c r="A378">
        <v>376</v>
      </c>
      <c r="B378" t="s">
        <v>12</v>
      </c>
      <c r="C378" t="s">
        <v>71</v>
      </c>
      <c r="D378">
        <v>0.33333333333333331</v>
      </c>
      <c r="E378">
        <v>0.66666666666666674</v>
      </c>
      <c r="F378">
        <v>318</v>
      </c>
      <c r="G378">
        <v>992</v>
      </c>
      <c r="H378">
        <f t="shared" si="20"/>
        <v>-2.8542327112802917</v>
      </c>
      <c r="I378">
        <v>5.7599999999999998E-2</v>
      </c>
      <c r="J378" t="str">
        <f t="shared" si="21"/>
        <v>CCCC[N+](CCCC)(CCCC)CCCC.[Cl-]CC(C(=O)O)O</v>
      </c>
      <c r="K378">
        <v>38</v>
      </c>
      <c r="M378">
        <f t="shared" si="22"/>
        <v>0.43414056006046287</v>
      </c>
      <c r="N378">
        <f t="shared" si="23"/>
        <v>-6.6547702828735789E-2</v>
      </c>
    </row>
    <row r="379" spans="1:14" x14ac:dyDescent="0.35">
      <c r="A379">
        <v>377</v>
      </c>
      <c r="B379" t="s">
        <v>12</v>
      </c>
      <c r="C379" t="s">
        <v>71</v>
      </c>
      <c r="D379">
        <v>0.33333333333333331</v>
      </c>
      <c r="E379">
        <v>0.66666666666666674</v>
      </c>
      <c r="F379">
        <v>318</v>
      </c>
      <c r="G379">
        <v>1292</v>
      </c>
      <c r="H379">
        <f t="shared" si="20"/>
        <v>-2.6023397466800957</v>
      </c>
      <c r="I379">
        <v>7.4099999999999999E-2</v>
      </c>
      <c r="J379" t="str">
        <f t="shared" si="21"/>
        <v>CCCC[N+](CCCC)(CCCC)CCCC.[Cl-]CC(C(=O)O)O</v>
      </c>
      <c r="K379">
        <v>38</v>
      </c>
      <c r="M379">
        <f t="shared" si="22"/>
        <v>0.43414056006046287</v>
      </c>
      <c r="N379">
        <f t="shared" si="23"/>
        <v>0.10123794438454936</v>
      </c>
    </row>
    <row r="380" spans="1:14" x14ac:dyDescent="0.35">
      <c r="A380">
        <v>378</v>
      </c>
      <c r="B380" t="s">
        <v>12</v>
      </c>
      <c r="C380" t="s">
        <v>71</v>
      </c>
      <c r="D380">
        <v>0.33333333333333331</v>
      </c>
      <c r="E380">
        <v>0.66666666666666674</v>
      </c>
      <c r="F380">
        <v>318</v>
      </c>
      <c r="G380">
        <v>1393</v>
      </c>
      <c r="H380">
        <f t="shared" si="20"/>
        <v>-2.54</v>
      </c>
      <c r="I380">
        <v>7.8866399790674946E-2</v>
      </c>
      <c r="J380" t="str">
        <f t="shared" si="21"/>
        <v>CCCC[N+](CCCC)(CCCC)CCCC.[Cl-]CC(C(=O)O)O</v>
      </c>
      <c r="K380">
        <v>38</v>
      </c>
      <c r="M380">
        <f t="shared" si="22"/>
        <v>0.43414056006046287</v>
      </c>
      <c r="N380">
        <f t="shared" si="23"/>
        <v>0.15772577894635537</v>
      </c>
    </row>
    <row r="381" spans="1:14" x14ac:dyDescent="0.35">
      <c r="A381">
        <v>379</v>
      </c>
      <c r="B381" t="s">
        <v>12</v>
      </c>
      <c r="C381" t="s">
        <v>71</v>
      </c>
      <c r="D381">
        <v>0.33333333333333331</v>
      </c>
      <c r="E381">
        <v>0.66666666666666674</v>
      </c>
      <c r="F381">
        <v>318</v>
      </c>
      <c r="G381">
        <v>1493</v>
      </c>
      <c r="H381">
        <f t="shared" si="20"/>
        <v>-2.4745603577338562</v>
      </c>
      <c r="I381">
        <v>8.4199999999999997E-2</v>
      </c>
      <c r="J381" t="str">
        <f t="shared" si="21"/>
        <v>CCCC[N+](CCCC)(CCCC)CCCC.[Cl-]CC(C(=O)O)O</v>
      </c>
      <c r="K381">
        <v>38</v>
      </c>
      <c r="M381">
        <f t="shared" si="22"/>
        <v>0.43414056006046287</v>
      </c>
      <c r="N381">
        <f t="shared" si="23"/>
        <v>0.21365432801745041</v>
      </c>
    </row>
    <row r="382" spans="1:14" x14ac:dyDescent="0.35">
      <c r="A382">
        <v>380</v>
      </c>
      <c r="B382" t="s">
        <v>12</v>
      </c>
      <c r="C382" t="s">
        <v>71</v>
      </c>
      <c r="D382">
        <v>0.33333333333333331</v>
      </c>
      <c r="E382">
        <v>0.66666666666666674</v>
      </c>
      <c r="F382">
        <v>318</v>
      </c>
      <c r="G382">
        <v>1793</v>
      </c>
      <c r="H382">
        <f t="shared" si="20"/>
        <v>-2.3025850929940455</v>
      </c>
      <c r="I382">
        <v>0.1</v>
      </c>
      <c r="J382" t="str">
        <f t="shared" si="21"/>
        <v>CCCC[N+](CCCC)(CCCC)CCCC.[Cl-]CC(C(=O)O)O</v>
      </c>
      <c r="K382">
        <v>38</v>
      </c>
      <c r="M382">
        <f t="shared" si="22"/>
        <v>0.43414056006046287</v>
      </c>
      <c r="N382">
        <f t="shared" si="23"/>
        <v>0.38143997523073558</v>
      </c>
    </row>
    <row r="383" spans="1:14" x14ac:dyDescent="0.35">
      <c r="A383">
        <v>381</v>
      </c>
      <c r="B383" t="s">
        <v>12</v>
      </c>
      <c r="C383" t="s">
        <v>71</v>
      </c>
      <c r="D383">
        <v>0.33333333333333331</v>
      </c>
      <c r="E383">
        <v>0.66666666666666674</v>
      </c>
      <c r="F383">
        <v>318</v>
      </c>
      <c r="G383">
        <v>1892</v>
      </c>
      <c r="H383">
        <f t="shared" si="20"/>
        <v>-2.2518919786785276</v>
      </c>
      <c r="I383">
        <v>0.1052</v>
      </c>
      <c r="J383" t="str">
        <f t="shared" si="21"/>
        <v>CCCC[N+](CCCC)(CCCC)CCCC.[Cl-]CC(C(=O)O)O</v>
      </c>
      <c r="K383">
        <v>38</v>
      </c>
      <c r="M383">
        <f t="shared" si="22"/>
        <v>0.43414056006046287</v>
      </c>
      <c r="N383">
        <f t="shared" si="23"/>
        <v>0.43680923881111966</v>
      </c>
    </row>
    <row r="384" spans="1:14" x14ac:dyDescent="0.35">
      <c r="A384">
        <v>382</v>
      </c>
      <c r="B384" t="s">
        <v>12</v>
      </c>
      <c r="C384" t="s">
        <v>71</v>
      </c>
      <c r="D384">
        <v>0.33333333333333331</v>
      </c>
      <c r="E384">
        <v>0.66666666666666674</v>
      </c>
      <c r="F384">
        <v>318</v>
      </c>
      <c r="G384">
        <v>1992</v>
      </c>
      <c r="H384">
        <f t="shared" si="20"/>
        <v>-2.2045513527226803</v>
      </c>
      <c r="I384">
        <v>0.1103</v>
      </c>
      <c r="J384" t="str">
        <f t="shared" si="21"/>
        <v>CCCC[N+](CCCC)(CCCC)CCCC.[Cl-]CC(C(=O)O)O</v>
      </c>
      <c r="K384">
        <v>38</v>
      </c>
      <c r="M384">
        <f t="shared" si="22"/>
        <v>0.43414056006046287</v>
      </c>
      <c r="N384">
        <f t="shared" si="23"/>
        <v>0.49273778788221473</v>
      </c>
    </row>
    <row r="385" spans="1:14" x14ac:dyDescent="0.35">
      <c r="A385">
        <v>383</v>
      </c>
      <c r="B385" t="s">
        <v>15</v>
      </c>
      <c r="C385" t="s">
        <v>71</v>
      </c>
      <c r="D385">
        <v>0.33333333333333331</v>
      </c>
      <c r="E385">
        <v>0.66666666666666674</v>
      </c>
      <c r="F385">
        <v>308</v>
      </c>
      <c r="G385">
        <v>97</v>
      </c>
      <c r="H385">
        <f t="shared" si="20"/>
        <v>-5.78</v>
      </c>
      <c r="I385">
        <v>3.0887154082367687E-3</v>
      </c>
      <c r="J385" t="str">
        <f t="shared" si="21"/>
        <v>CC[N+](CC)(CC)CC.[Cl-]CC(C(=O)O)O</v>
      </c>
      <c r="K385">
        <v>56</v>
      </c>
      <c r="M385">
        <f t="shared" si="22"/>
        <v>-0.34957611648698239</v>
      </c>
      <c r="N385">
        <f t="shared" si="23"/>
        <v>-0.56710821701503655</v>
      </c>
    </row>
    <row r="386" spans="1:14" x14ac:dyDescent="0.35">
      <c r="A386">
        <v>384</v>
      </c>
      <c r="B386" t="s">
        <v>15</v>
      </c>
      <c r="C386" t="s">
        <v>71</v>
      </c>
      <c r="D386">
        <v>0.33333333333333331</v>
      </c>
      <c r="E386">
        <v>0.66666666666666674</v>
      </c>
      <c r="F386">
        <v>308</v>
      </c>
      <c r="G386">
        <v>197</v>
      </c>
      <c r="H386">
        <f t="shared" si="20"/>
        <v>-4.9476604949348673</v>
      </c>
      <c r="I386">
        <v>7.1000000000000004E-3</v>
      </c>
      <c r="J386" t="str">
        <f t="shared" si="21"/>
        <v>CC[N+](CC)(CC)CC.[Cl-]CC(C(=O)O)O</v>
      </c>
      <c r="K386">
        <v>56</v>
      </c>
      <c r="M386">
        <f t="shared" si="22"/>
        <v>-0.34957611648698239</v>
      </c>
      <c r="N386">
        <f t="shared" si="23"/>
        <v>-0.51117966794394143</v>
      </c>
    </row>
    <row r="387" spans="1:14" x14ac:dyDescent="0.35">
      <c r="A387">
        <v>385</v>
      </c>
      <c r="B387" t="s">
        <v>15</v>
      </c>
      <c r="C387" t="s">
        <v>71</v>
      </c>
      <c r="D387">
        <v>0.33333333333333331</v>
      </c>
      <c r="E387">
        <v>0.66666666666666674</v>
      </c>
      <c r="F387">
        <v>308</v>
      </c>
      <c r="G387">
        <v>294</v>
      </c>
      <c r="H387">
        <f t="shared" ref="H387:H450" si="24">LN(I387)</f>
        <v>-4.49</v>
      </c>
      <c r="I387">
        <v>1.1220643809589084E-2</v>
      </c>
      <c r="J387" t="str">
        <f t="shared" ref="J387:J450" si="25">_xlfn.CONCAT(B387,C387)</f>
        <v>CC[N+](CC)(CC)CC.[Cl-]CC(C(=O)O)O</v>
      </c>
      <c r="K387">
        <v>56</v>
      </c>
      <c r="M387">
        <f t="shared" ref="M387:M450" si="26">(F387-$L$3)/$L$2</f>
        <v>-0.34957611648698239</v>
      </c>
      <c r="N387">
        <f t="shared" ref="N387:N450" si="27">(G387-$L$6)/$L$5</f>
        <v>-0.45692897534497928</v>
      </c>
    </row>
    <row r="388" spans="1:14" x14ac:dyDescent="0.35">
      <c r="A388">
        <v>386</v>
      </c>
      <c r="B388" t="s">
        <v>15</v>
      </c>
      <c r="C388" t="s">
        <v>71</v>
      </c>
      <c r="D388">
        <v>0.33333333333333331</v>
      </c>
      <c r="E388">
        <v>0.66666666666666674</v>
      </c>
      <c r="F388">
        <v>308</v>
      </c>
      <c r="G388">
        <v>394</v>
      </c>
      <c r="H388">
        <f t="shared" si="24"/>
        <v>-4.1864598511299063</v>
      </c>
      <c r="I388">
        <v>1.52E-2</v>
      </c>
      <c r="J388" t="str">
        <f t="shared" si="25"/>
        <v>CC[N+](CC)(CC)CC.[Cl-]CC(C(=O)O)O</v>
      </c>
      <c r="K388">
        <v>56</v>
      </c>
      <c r="M388">
        <f t="shared" si="26"/>
        <v>-0.34957611648698239</v>
      </c>
      <c r="N388">
        <f t="shared" si="27"/>
        <v>-0.40100042627388421</v>
      </c>
    </row>
    <row r="389" spans="1:14" x14ac:dyDescent="0.35">
      <c r="A389">
        <v>387</v>
      </c>
      <c r="B389" t="s">
        <v>15</v>
      </c>
      <c r="C389" t="s">
        <v>71</v>
      </c>
      <c r="D389">
        <v>0.33333333333333331</v>
      </c>
      <c r="E389">
        <v>0.66666666666666674</v>
      </c>
      <c r="F389">
        <v>308</v>
      </c>
      <c r="G389">
        <v>493</v>
      </c>
      <c r="H389">
        <f t="shared" si="24"/>
        <v>-3.9528449999484012</v>
      </c>
      <c r="I389">
        <v>1.9199999999999998E-2</v>
      </c>
      <c r="J389" t="str">
        <f t="shared" si="25"/>
        <v>CC[N+](CC)(CC)CC.[Cl-]CC(C(=O)O)O</v>
      </c>
      <c r="K389">
        <v>56</v>
      </c>
      <c r="M389">
        <f t="shared" si="26"/>
        <v>-0.34957611648698239</v>
      </c>
      <c r="N389">
        <f t="shared" si="27"/>
        <v>-0.34563116269350008</v>
      </c>
    </row>
    <row r="390" spans="1:14" x14ac:dyDescent="0.35">
      <c r="A390">
        <v>388</v>
      </c>
      <c r="B390" t="s">
        <v>15</v>
      </c>
      <c r="C390" t="s">
        <v>71</v>
      </c>
      <c r="D390">
        <v>0.33333333333333331</v>
      </c>
      <c r="E390">
        <v>0.66666666666666674</v>
      </c>
      <c r="F390">
        <v>308</v>
      </c>
      <c r="G390">
        <v>593</v>
      </c>
      <c r="H390">
        <f t="shared" si="24"/>
        <v>-3.78</v>
      </c>
      <c r="I390">
        <v>2.2822691425092981E-2</v>
      </c>
      <c r="J390" t="str">
        <f t="shared" si="25"/>
        <v>CC[N+](CC)(CC)CC.[Cl-]CC(C(=O)O)O</v>
      </c>
      <c r="K390">
        <v>56</v>
      </c>
      <c r="M390">
        <f t="shared" si="26"/>
        <v>-0.34957611648698239</v>
      </c>
      <c r="N390">
        <f t="shared" si="27"/>
        <v>-0.28970261362240507</v>
      </c>
    </row>
    <row r="391" spans="1:14" x14ac:dyDescent="0.35">
      <c r="A391">
        <v>389</v>
      </c>
      <c r="B391" t="s">
        <v>15</v>
      </c>
      <c r="C391" t="s">
        <v>71</v>
      </c>
      <c r="D391">
        <v>0.33333333333333331</v>
      </c>
      <c r="E391">
        <v>0.66666666666666674</v>
      </c>
      <c r="F391">
        <v>308</v>
      </c>
      <c r="G391">
        <v>693</v>
      </c>
      <c r="H391">
        <f t="shared" si="24"/>
        <v>-3.6156289923743437</v>
      </c>
      <c r="I391">
        <v>2.69E-2</v>
      </c>
      <c r="J391" t="str">
        <f t="shared" si="25"/>
        <v>CC[N+](CC)(CC)CC.[Cl-]CC(C(=O)O)O</v>
      </c>
      <c r="K391">
        <v>56</v>
      </c>
      <c r="M391">
        <f t="shared" si="26"/>
        <v>-0.34957611648698239</v>
      </c>
      <c r="N391">
        <f t="shared" si="27"/>
        <v>-0.23377406455131</v>
      </c>
    </row>
    <row r="392" spans="1:14" x14ac:dyDescent="0.35">
      <c r="A392">
        <v>390</v>
      </c>
      <c r="B392" t="s">
        <v>15</v>
      </c>
      <c r="C392" t="s">
        <v>71</v>
      </c>
      <c r="D392">
        <v>0.33333333333333331</v>
      </c>
      <c r="E392">
        <v>0.66666666666666674</v>
      </c>
      <c r="F392">
        <v>308</v>
      </c>
      <c r="G392">
        <v>793</v>
      </c>
      <c r="H392">
        <f t="shared" si="24"/>
        <v>-3.486755270023802</v>
      </c>
      <c r="I392">
        <v>3.0599999999999999E-2</v>
      </c>
      <c r="J392" t="str">
        <f t="shared" si="25"/>
        <v>CC[N+](CC)(CC)CC.[Cl-]CC(C(=O)O)O</v>
      </c>
      <c r="K392">
        <v>56</v>
      </c>
      <c r="M392">
        <f t="shared" si="26"/>
        <v>-0.34957611648698239</v>
      </c>
      <c r="N392">
        <f t="shared" si="27"/>
        <v>-0.17784551548021496</v>
      </c>
    </row>
    <row r="393" spans="1:14" x14ac:dyDescent="0.35">
      <c r="A393">
        <v>391</v>
      </c>
      <c r="B393" t="s">
        <v>15</v>
      </c>
      <c r="C393" t="s">
        <v>71</v>
      </c>
      <c r="D393">
        <v>0.33333333333333331</v>
      </c>
      <c r="E393">
        <v>0.66666666666666674</v>
      </c>
      <c r="F393">
        <v>308</v>
      </c>
      <c r="G393">
        <v>893</v>
      </c>
      <c r="H393">
        <f t="shared" si="24"/>
        <v>-3.3639015969184585</v>
      </c>
      <c r="I393">
        <v>3.4599999999999999E-2</v>
      </c>
      <c r="J393" t="str">
        <f t="shared" si="25"/>
        <v>CC[N+](CC)(CC)CC.[Cl-]CC(C(=O)O)O</v>
      </c>
      <c r="K393">
        <v>56</v>
      </c>
      <c r="M393">
        <f t="shared" si="26"/>
        <v>-0.34957611648698239</v>
      </c>
      <c r="N393">
        <f t="shared" si="27"/>
        <v>-0.12191696640911989</v>
      </c>
    </row>
    <row r="394" spans="1:14" x14ac:dyDescent="0.35">
      <c r="A394">
        <v>392</v>
      </c>
      <c r="B394" t="s">
        <v>15</v>
      </c>
      <c r="C394" t="s">
        <v>71</v>
      </c>
      <c r="D394">
        <v>0.33333333333333331</v>
      </c>
      <c r="E394">
        <v>0.66666666666666674</v>
      </c>
      <c r="F394">
        <v>308</v>
      </c>
      <c r="G394">
        <v>993</v>
      </c>
      <c r="H394">
        <f t="shared" si="24"/>
        <v>-3.27</v>
      </c>
      <c r="I394">
        <v>3.8006427075174314E-2</v>
      </c>
      <c r="J394" t="str">
        <f t="shared" si="25"/>
        <v>CC[N+](CC)(CC)CC.[Cl-]CC(C(=O)O)O</v>
      </c>
      <c r="K394">
        <v>56</v>
      </c>
      <c r="M394">
        <f t="shared" si="26"/>
        <v>-0.34957611648698239</v>
      </c>
      <c r="N394">
        <f t="shared" si="27"/>
        <v>-6.5988417338024838E-2</v>
      </c>
    </row>
    <row r="395" spans="1:14" x14ac:dyDescent="0.35">
      <c r="A395">
        <v>393</v>
      </c>
      <c r="B395" t="s">
        <v>15</v>
      </c>
      <c r="C395" t="s">
        <v>71</v>
      </c>
      <c r="D395">
        <v>0.33333333333333331</v>
      </c>
      <c r="E395">
        <v>0.66666666666666674</v>
      </c>
      <c r="F395">
        <v>308</v>
      </c>
      <c r="G395">
        <v>1093</v>
      </c>
      <c r="H395">
        <f t="shared" si="24"/>
        <v>-3.19</v>
      </c>
      <c r="I395">
        <v>4.117187093906774E-2</v>
      </c>
      <c r="J395" t="str">
        <f t="shared" si="25"/>
        <v>CC[N+](CC)(CC)CC.[Cl-]CC(C(=O)O)O</v>
      </c>
      <c r="K395">
        <v>56</v>
      </c>
      <c r="M395">
        <f t="shared" si="26"/>
        <v>-0.34957611648698239</v>
      </c>
      <c r="N395">
        <f t="shared" si="27"/>
        <v>-1.0059868266929792E-2</v>
      </c>
    </row>
    <row r="396" spans="1:14" x14ac:dyDescent="0.35">
      <c r="A396">
        <v>394</v>
      </c>
      <c r="B396" t="s">
        <v>15</v>
      </c>
      <c r="C396" t="s">
        <v>71</v>
      </c>
      <c r="D396">
        <v>0.33333333333333331</v>
      </c>
      <c r="E396">
        <v>0.66666666666666674</v>
      </c>
      <c r="F396">
        <v>308</v>
      </c>
      <c r="G396">
        <v>1192</v>
      </c>
      <c r="H396">
        <f t="shared" si="24"/>
        <v>-3.1</v>
      </c>
      <c r="I396">
        <v>4.5049202393557801E-2</v>
      </c>
      <c r="J396" t="str">
        <f t="shared" si="25"/>
        <v>CC[N+](CC)(CC)CC.[Cl-]CC(C(=O)O)O</v>
      </c>
      <c r="K396">
        <v>56</v>
      </c>
      <c r="M396">
        <f t="shared" si="26"/>
        <v>-0.34957611648698239</v>
      </c>
      <c r="N396">
        <f t="shared" si="27"/>
        <v>4.5309395313454313E-2</v>
      </c>
    </row>
    <row r="397" spans="1:14" x14ac:dyDescent="0.35">
      <c r="A397">
        <v>395</v>
      </c>
      <c r="B397" t="s">
        <v>15</v>
      </c>
      <c r="C397" t="s">
        <v>71</v>
      </c>
      <c r="D397">
        <v>0.33333333333333331</v>
      </c>
      <c r="E397">
        <v>0.66666666666666674</v>
      </c>
      <c r="F397">
        <v>308</v>
      </c>
      <c r="G397">
        <v>1293</v>
      </c>
      <c r="H397">
        <f t="shared" si="24"/>
        <v>-3.028255465259551</v>
      </c>
      <c r="I397">
        <v>4.8399999999999999E-2</v>
      </c>
      <c r="J397" t="str">
        <f t="shared" si="25"/>
        <v>CC[N+](CC)(CC)CC.[Cl-]CC(C(=O)O)O</v>
      </c>
      <c r="K397">
        <v>56</v>
      </c>
      <c r="M397">
        <f t="shared" si="26"/>
        <v>-0.34957611648698239</v>
      </c>
      <c r="N397">
        <f t="shared" si="27"/>
        <v>0.10179722987526031</v>
      </c>
    </row>
    <row r="398" spans="1:14" x14ac:dyDescent="0.35">
      <c r="A398">
        <v>396</v>
      </c>
      <c r="B398" t="s">
        <v>15</v>
      </c>
      <c r="C398" t="s">
        <v>71</v>
      </c>
      <c r="D398">
        <v>0.33333333333333331</v>
      </c>
      <c r="E398">
        <v>0.66666666666666674</v>
      </c>
      <c r="F398">
        <v>308</v>
      </c>
      <c r="G398">
        <v>1392</v>
      </c>
      <c r="H398">
        <f t="shared" si="24"/>
        <v>-2.9545903302228158</v>
      </c>
      <c r="I398">
        <v>5.21E-2</v>
      </c>
      <c r="J398" t="str">
        <f t="shared" si="25"/>
        <v>CC[N+](CC)(CC)CC.[Cl-]CC(C(=O)O)O</v>
      </c>
      <c r="K398">
        <v>56</v>
      </c>
      <c r="M398">
        <f t="shared" si="26"/>
        <v>-0.34957611648698239</v>
      </c>
      <c r="N398">
        <f t="shared" si="27"/>
        <v>0.1571664934556444</v>
      </c>
    </row>
    <row r="399" spans="1:14" x14ac:dyDescent="0.35">
      <c r="A399">
        <v>397</v>
      </c>
      <c r="B399" t="s">
        <v>15</v>
      </c>
      <c r="C399" t="s">
        <v>71</v>
      </c>
      <c r="D399">
        <v>0.33333333333333331</v>
      </c>
      <c r="E399">
        <v>0.66666666666666674</v>
      </c>
      <c r="F399">
        <v>308</v>
      </c>
      <c r="G399">
        <v>1493</v>
      </c>
      <c r="H399">
        <f t="shared" si="24"/>
        <v>-2.89</v>
      </c>
      <c r="I399">
        <v>5.5576212611483058E-2</v>
      </c>
      <c r="J399" t="str">
        <f t="shared" si="25"/>
        <v>CC[N+](CC)(CC)CC.[Cl-]CC(C(=O)O)O</v>
      </c>
      <c r="K399">
        <v>56</v>
      </c>
      <c r="M399">
        <f t="shared" si="26"/>
        <v>-0.34957611648698239</v>
      </c>
      <c r="N399">
        <f t="shared" si="27"/>
        <v>0.21365432801745041</v>
      </c>
    </row>
    <row r="400" spans="1:14" x14ac:dyDescent="0.35">
      <c r="A400">
        <v>398</v>
      </c>
      <c r="B400" t="s">
        <v>15</v>
      </c>
      <c r="C400" t="s">
        <v>71</v>
      </c>
      <c r="D400">
        <v>0.33333333333333331</v>
      </c>
      <c r="E400">
        <v>0.66666666666666674</v>
      </c>
      <c r="F400">
        <v>308</v>
      </c>
      <c r="G400">
        <v>1592</v>
      </c>
      <c r="H400">
        <f t="shared" si="24"/>
        <v>-2.8268337370921772</v>
      </c>
      <c r="I400">
        <v>5.9200000000000003E-2</v>
      </c>
      <c r="J400" t="str">
        <f t="shared" si="25"/>
        <v>CC[N+](CC)(CC)CC.[Cl-]CC(C(=O)O)O</v>
      </c>
      <c r="K400">
        <v>56</v>
      </c>
      <c r="M400">
        <f t="shared" si="26"/>
        <v>-0.34957611648698239</v>
      </c>
      <c r="N400">
        <f t="shared" si="27"/>
        <v>0.26902359159783451</v>
      </c>
    </row>
    <row r="401" spans="1:14" x14ac:dyDescent="0.35">
      <c r="A401">
        <v>399</v>
      </c>
      <c r="B401" t="s">
        <v>15</v>
      </c>
      <c r="C401" t="s">
        <v>71</v>
      </c>
      <c r="D401">
        <v>0.33333333333333331</v>
      </c>
      <c r="E401">
        <v>0.66666666666666674</v>
      </c>
      <c r="F401">
        <v>308</v>
      </c>
      <c r="G401">
        <v>1692</v>
      </c>
      <c r="H401">
        <f t="shared" si="24"/>
        <v>-2.7725887222397811</v>
      </c>
      <c r="I401">
        <v>6.25E-2</v>
      </c>
      <c r="J401" t="str">
        <f t="shared" si="25"/>
        <v>CC[N+](CC)(CC)CC.[Cl-]CC(C(=O)O)O</v>
      </c>
      <c r="K401">
        <v>56</v>
      </c>
      <c r="M401">
        <f t="shared" si="26"/>
        <v>-0.34957611648698239</v>
      </c>
      <c r="N401">
        <f t="shared" si="27"/>
        <v>0.32495214066892958</v>
      </c>
    </row>
    <row r="402" spans="1:14" x14ac:dyDescent="0.35">
      <c r="A402">
        <v>400</v>
      </c>
      <c r="B402" t="s">
        <v>15</v>
      </c>
      <c r="C402" t="s">
        <v>71</v>
      </c>
      <c r="D402">
        <v>0.33333333333333331</v>
      </c>
      <c r="E402">
        <v>0.66666666666666674</v>
      </c>
      <c r="F402">
        <v>308</v>
      </c>
      <c r="G402">
        <v>1793</v>
      </c>
      <c r="H402">
        <f t="shared" si="24"/>
        <v>-2.7181005369557116</v>
      </c>
      <c r="I402">
        <v>6.6000000000000003E-2</v>
      </c>
      <c r="J402" t="str">
        <f t="shared" si="25"/>
        <v>CC[N+](CC)(CC)CC.[Cl-]CC(C(=O)O)O</v>
      </c>
      <c r="K402">
        <v>56</v>
      </c>
      <c r="M402">
        <f t="shared" si="26"/>
        <v>-0.34957611648698239</v>
      </c>
      <c r="N402">
        <f t="shared" si="27"/>
        <v>0.38143997523073558</v>
      </c>
    </row>
    <row r="403" spans="1:14" x14ac:dyDescent="0.35">
      <c r="A403">
        <v>401</v>
      </c>
      <c r="B403" t="s">
        <v>15</v>
      </c>
      <c r="C403" t="s">
        <v>71</v>
      </c>
      <c r="D403">
        <v>0.33333333333333331</v>
      </c>
      <c r="E403">
        <v>0.66666666666666674</v>
      </c>
      <c r="F403">
        <v>308</v>
      </c>
      <c r="G403">
        <v>1893</v>
      </c>
      <c r="H403">
        <f t="shared" si="24"/>
        <v>-2.6707544163585131</v>
      </c>
      <c r="I403">
        <v>6.9199999999999998E-2</v>
      </c>
      <c r="J403" t="str">
        <f t="shared" si="25"/>
        <v>CC[N+](CC)(CC)CC.[Cl-]CC(C(=O)O)O</v>
      </c>
      <c r="K403">
        <v>56</v>
      </c>
      <c r="M403">
        <f t="shared" si="26"/>
        <v>-0.34957611648698239</v>
      </c>
      <c r="N403">
        <f t="shared" si="27"/>
        <v>0.43736852430183065</v>
      </c>
    </row>
    <row r="404" spans="1:14" x14ac:dyDescent="0.35">
      <c r="A404">
        <v>402</v>
      </c>
      <c r="B404" t="s">
        <v>15</v>
      </c>
      <c r="C404" t="s">
        <v>71</v>
      </c>
      <c r="D404">
        <v>0.33333333333333331</v>
      </c>
      <c r="E404">
        <v>0.66666666666666674</v>
      </c>
      <c r="F404">
        <v>308</v>
      </c>
      <c r="G404">
        <v>1993</v>
      </c>
      <c r="H404">
        <f t="shared" si="24"/>
        <v>-2.624168717121508</v>
      </c>
      <c r="I404">
        <v>7.2499999999999995E-2</v>
      </c>
      <c r="J404" t="str">
        <f t="shared" si="25"/>
        <v>CC[N+](CC)(CC)CC.[Cl-]CC(C(=O)O)O</v>
      </c>
      <c r="K404">
        <v>56</v>
      </c>
      <c r="M404">
        <f t="shared" si="26"/>
        <v>-0.34957611648698239</v>
      </c>
      <c r="N404">
        <f t="shared" si="27"/>
        <v>0.49329707337292567</v>
      </c>
    </row>
    <row r="405" spans="1:14" x14ac:dyDescent="0.35">
      <c r="A405">
        <v>403</v>
      </c>
      <c r="B405" t="s">
        <v>15</v>
      </c>
      <c r="C405" t="s">
        <v>71</v>
      </c>
      <c r="D405">
        <v>0.33333333333333331</v>
      </c>
      <c r="E405">
        <v>0.66666666666666674</v>
      </c>
      <c r="F405">
        <v>318</v>
      </c>
      <c r="G405">
        <v>94</v>
      </c>
      <c r="H405">
        <f t="shared" si="24"/>
        <v>-5.56</v>
      </c>
      <c r="I405">
        <v>3.8487763976105429E-3</v>
      </c>
      <c r="J405" t="str">
        <f t="shared" si="25"/>
        <v>CC[N+](CC)(CC)CC.[Cl-]CC(C(=O)O)O</v>
      </c>
      <c r="K405">
        <v>56</v>
      </c>
      <c r="M405">
        <f t="shared" si="26"/>
        <v>0.43414056006046287</v>
      </c>
      <c r="N405">
        <f t="shared" si="27"/>
        <v>-0.56878607348716936</v>
      </c>
    </row>
    <row r="406" spans="1:14" x14ac:dyDescent="0.35">
      <c r="A406">
        <v>404</v>
      </c>
      <c r="B406" t="s">
        <v>15</v>
      </c>
      <c r="C406" t="s">
        <v>71</v>
      </c>
      <c r="D406">
        <v>0.33333333333333331</v>
      </c>
      <c r="E406">
        <v>0.66666666666666674</v>
      </c>
      <c r="F406">
        <v>318</v>
      </c>
      <c r="G406">
        <v>193</v>
      </c>
      <c r="H406">
        <f t="shared" si="24"/>
        <v>-5.04</v>
      </c>
      <c r="I406">
        <v>6.4737483182894049E-3</v>
      </c>
      <c r="J406" t="str">
        <f t="shared" si="25"/>
        <v>CC[N+](CC)(CC)CC.[Cl-]CC(C(=O)O)O</v>
      </c>
      <c r="K406">
        <v>56</v>
      </c>
      <c r="M406">
        <f t="shared" si="26"/>
        <v>0.43414056006046287</v>
      </c>
      <c r="N406">
        <f t="shared" si="27"/>
        <v>-0.51341680990678529</v>
      </c>
    </row>
    <row r="407" spans="1:14" x14ac:dyDescent="0.35">
      <c r="A407">
        <v>405</v>
      </c>
      <c r="B407" t="s">
        <v>15</v>
      </c>
      <c r="C407" t="s">
        <v>71</v>
      </c>
      <c r="D407">
        <v>0.33333333333333331</v>
      </c>
      <c r="E407">
        <v>0.66666666666666674</v>
      </c>
      <c r="F407">
        <v>318</v>
      </c>
      <c r="G407">
        <v>294</v>
      </c>
      <c r="H407">
        <f t="shared" si="24"/>
        <v>-4.57</v>
      </c>
      <c r="I407">
        <v>1.0357959717613696E-2</v>
      </c>
      <c r="J407" t="str">
        <f t="shared" si="25"/>
        <v>CC[N+](CC)(CC)CC.[Cl-]CC(C(=O)O)O</v>
      </c>
      <c r="K407">
        <v>56</v>
      </c>
      <c r="M407">
        <f t="shared" si="26"/>
        <v>0.43414056006046287</v>
      </c>
      <c r="N407">
        <f t="shared" si="27"/>
        <v>-0.45692897534497928</v>
      </c>
    </row>
    <row r="408" spans="1:14" x14ac:dyDescent="0.35">
      <c r="A408">
        <v>406</v>
      </c>
      <c r="B408" t="s">
        <v>15</v>
      </c>
      <c r="C408" t="s">
        <v>71</v>
      </c>
      <c r="D408">
        <v>0.33333333333333331</v>
      </c>
      <c r="E408">
        <v>0.66666666666666674</v>
      </c>
      <c r="F408">
        <v>318</v>
      </c>
      <c r="G408">
        <v>393</v>
      </c>
      <c r="H408">
        <f t="shared" si="24"/>
        <v>-4.3428059215206005</v>
      </c>
      <c r="I408">
        <v>1.2999999999999999E-2</v>
      </c>
      <c r="J408" t="str">
        <f t="shared" si="25"/>
        <v>CC[N+](CC)(CC)CC.[Cl-]CC(C(=O)O)O</v>
      </c>
      <c r="K408">
        <v>56</v>
      </c>
      <c r="M408">
        <f t="shared" si="26"/>
        <v>0.43414056006046287</v>
      </c>
      <c r="N408">
        <f t="shared" si="27"/>
        <v>-0.40155971176459515</v>
      </c>
    </row>
    <row r="409" spans="1:14" x14ac:dyDescent="0.35">
      <c r="A409">
        <v>407</v>
      </c>
      <c r="B409" t="s">
        <v>15</v>
      </c>
      <c r="C409" t="s">
        <v>71</v>
      </c>
      <c r="D409">
        <v>0.33333333333333331</v>
      </c>
      <c r="E409">
        <v>0.66666666666666674</v>
      </c>
      <c r="F409">
        <v>318</v>
      </c>
      <c r="G409">
        <v>492</v>
      </c>
      <c r="H409">
        <f t="shared" si="24"/>
        <v>-4.0999999999999996</v>
      </c>
      <c r="I409">
        <v>1.6572675401761255E-2</v>
      </c>
      <c r="J409" t="str">
        <f t="shared" si="25"/>
        <v>CC[N+](CC)(CC)CC.[Cl-]CC(C(=O)O)O</v>
      </c>
      <c r="K409">
        <v>56</v>
      </c>
      <c r="M409">
        <f t="shared" si="26"/>
        <v>0.43414056006046287</v>
      </c>
      <c r="N409">
        <f t="shared" si="27"/>
        <v>-0.34619044818421107</v>
      </c>
    </row>
    <row r="410" spans="1:14" x14ac:dyDescent="0.35">
      <c r="A410">
        <v>408</v>
      </c>
      <c r="B410" t="s">
        <v>15</v>
      </c>
      <c r="C410" t="s">
        <v>71</v>
      </c>
      <c r="D410">
        <v>0.33333333333333331</v>
      </c>
      <c r="E410">
        <v>0.66666666666666674</v>
      </c>
      <c r="F410">
        <v>318</v>
      </c>
      <c r="G410">
        <v>593</v>
      </c>
      <c r="H410">
        <f t="shared" si="24"/>
        <v>-3.93</v>
      </c>
      <c r="I410">
        <v>1.9643672553065292E-2</v>
      </c>
      <c r="J410" t="str">
        <f t="shared" si="25"/>
        <v>CC[N+](CC)(CC)CC.[Cl-]CC(C(=O)O)O</v>
      </c>
      <c r="K410">
        <v>56</v>
      </c>
      <c r="M410">
        <f t="shared" si="26"/>
        <v>0.43414056006046287</v>
      </c>
      <c r="N410">
        <f t="shared" si="27"/>
        <v>-0.28970261362240507</v>
      </c>
    </row>
    <row r="411" spans="1:14" x14ac:dyDescent="0.35">
      <c r="A411">
        <v>409</v>
      </c>
      <c r="B411" t="s">
        <v>15</v>
      </c>
      <c r="C411" t="s">
        <v>71</v>
      </c>
      <c r="D411">
        <v>0.33333333333333331</v>
      </c>
      <c r="E411">
        <v>0.66666666666666674</v>
      </c>
      <c r="F411">
        <v>318</v>
      </c>
      <c r="G411">
        <v>692</v>
      </c>
      <c r="H411">
        <f t="shared" si="24"/>
        <v>-3.78</v>
      </c>
      <c r="I411">
        <v>2.2822691425092981E-2</v>
      </c>
      <c r="J411" t="str">
        <f t="shared" si="25"/>
        <v>CC[N+](CC)(CC)CC.[Cl-]CC(C(=O)O)O</v>
      </c>
      <c r="K411">
        <v>56</v>
      </c>
      <c r="M411">
        <f t="shared" si="26"/>
        <v>0.43414056006046287</v>
      </c>
      <c r="N411">
        <f t="shared" si="27"/>
        <v>-0.23433335004202097</v>
      </c>
    </row>
    <row r="412" spans="1:14" x14ac:dyDescent="0.35">
      <c r="A412">
        <v>410</v>
      </c>
      <c r="B412" t="s">
        <v>15</v>
      </c>
      <c r="C412" t="s">
        <v>71</v>
      </c>
      <c r="D412">
        <v>0.33333333333333331</v>
      </c>
      <c r="E412">
        <v>0.66666666666666674</v>
      </c>
      <c r="F412">
        <v>318</v>
      </c>
      <c r="G412">
        <v>793</v>
      </c>
      <c r="H412">
        <f t="shared" si="24"/>
        <v>-3.6458199646534895</v>
      </c>
      <c r="I412">
        <v>2.6100000000000002E-2</v>
      </c>
      <c r="J412" t="str">
        <f t="shared" si="25"/>
        <v>CC[N+](CC)(CC)CC.[Cl-]CC(C(=O)O)O</v>
      </c>
      <c r="K412">
        <v>56</v>
      </c>
      <c r="M412">
        <f t="shared" si="26"/>
        <v>0.43414056006046287</v>
      </c>
      <c r="N412">
        <f t="shared" si="27"/>
        <v>-0.17784551548021496</v>
      </c>
    </row>
    <row r="413" spans="1:14" x14ac:dyDescent="0.35">
      <c r="A413">
        <v>411</v>
      </c>
      <c r="B413" t="s">
        <v>15</v>
      </c>
      <c r="C413" t="s">
        <v>71</v>
      </c>
      <c r="D413">
        <v>0.33333333333333331</v>
      </c>
      <c r="E413">
        <v>0.66666666666666674</v>
      </c>
      <c r="F413">
        <v>318</v>
      </c>
      <c r="G413">
        <v>892</v>
      </c>
      <c r="H413">
        <f t="shared" si="24"/>
        <v>-3.53</v>
      </c>
      <c r="I413">
        <v>2.9304915867040759E-2</v>
      </c>
      <c r="J413" t="str">
        <f t="shared" si="25"/>
        <v>CC[N+](CC)(CC)CC.[Cl-]CC(C(=O)O)O</v>
      </c>
      <c r="K413">
        <v>56</v>
      </c>
      <c r="M413">
        <f t="shared" si="26"/>
        <v>0.43414056006046287</v>
      </c>
      <c r="N413">
        <f t="shared" si="27"/>
        <v>-0.12247625189983084</v>
      </c>
    </row>
    <row r="414" spans="1:14" x14ac:dyDescent="0.35">
      <c r="A414">
        <v>412</v>
      </c>
      <c r="B414" t="s">
        <v>15</v>
      </c>
      <c r="C414" t="s">
        <v>71</v>
      </c>
      <c r="D414">
        <v>0.33333333333333331</v>
      </c>
      <c r="E414">
        <v>0.66666666666666674</v>
      </c>
      <c r="F414">
        <v>318</v>
      </c>
      <c r="G414">
        <v>993</v>
      </c>
      <c r="H414">
        <f t="shared" si="24"/>
        <v>-3.4326880487535263</v>
      </c>
      <c r="I414">
        <v>3.2300000000000002E-2</v>
      </c>
      <c r="J414" t="str">
        <f t="shared" si="25"/>
        <v>CC[N+](CC)(CC)CC.[Cl-]CC(C(=O)O)O</v>
      </c>
      <c r="K414">
        <v>56</v>
      </c>
      <c r="M414">
        <f t="shared" si="26"/>
        <v>0.43414056006046287</v>
      </c>
      <c r="N414">
        <f t="shared" si="27"/>
        <v>-6.5988417338024838E-2</v>
      </c>
    </row>
    <row r="415" spans="1:14" x14ac:dyDescent="0.35">
      <c r="A415">
        <v>413</v>
      </c>
      <c r="B415" t="s">
        <v>15</v>
      </c>
      <c r="C415" t="s">
        <v>71</v>
      </c>
      <c r="D415">
        <v>0.33333333333333331</v>
      </c>
      <c r="E415">
        <v>0.66666666666666674</v>
      </c>
      <c r="F415">
        <v>318</v>
      </c>
      <c r="G415">
        <v>1092</v>
      </c>
      <c r="H415">
        <f t="shared" si="24"/>
        <v>-3.3382225825007672</v>
      </c>
      <c r="I415">
        <v>3.5499999999999997E-2</v>
      </c>
      <c r="J415" t="str">
        <f t="shared" si="25"/>
        <v>CC[N+](CC)(CC)CC.[Cl-]CC(C(=O)O)O</v>
      </c>
      <c r="K415">
        <v>56</v>
      </c>
      <c r="M415">
        <f t="shared" si="26"/>
        <v>0.43414056006046287</v>
      </c>
      <c r="N415">
        <f t="shared" si="27"/>
        <v>-1.0619153757640743E-2</v>
      </c>
    </row>
    <row r="416" spans="1:14" x14ac:dyDescent="0.35">
      <c r="A416">
        <v>414</v>
      </c>
      <c r="B416" t="s">
        <v>15</v>
      </c>
      <c r="C416" t="s">
        <v>71</v>
      </c>
      <c r="D416">
        <v>0.33333333333333331</v>
      </c>
      <c r="E416">
        <v>0.66666666666666674</v>
      </c>
      <c r="F416">
        <v>318</v>
      </c>
      <c r="G416">
        <v>1193</v>
      </c>
      <c r="H416">
        <f t="shared" si="24"/>
        <v>-3.2623053827955366</v>
      </c>
      <c r="I416">
        <v>3.8300000000000001E-2</v>
      </c>
      <c r="J416" t="str">
        <f t="shared" si="25"/>
        <v>CC[N+](CC)(CC)CC.[Cl-]CC(C(=O)O)O</v>
      </c>
      <c r="K416">
        <v>56</v>
      </c>
      <c r="M416">
        <f t="shared" si="26"/>
        <v>0.43414056006046287</v>
      </c>
      <c r="N416">
        <f t="shared" si="27"/>
        <v>4.5868680804165264E-2</v>
      </c>
    </row>
    <row r="417" spans="1:14" x14ac:dyDescent="0.35">
      <c r="A417">
        <v>415</v>
      </c>
      <c r="B417" t="s">
        <v>15</v>
      </c>
      <c r="C417" t="s">
        <v>71</v>
      </c>
      <c r="D417">
        <v>0.33333333333333331</v>
      </c>
      <c r="E417">
        <v>0.66666666666666674</v>
      </c>
      <c r="F417">
        <v>318</v>
      </c>
      <c r="G417">
        <v>1293</v>
      </c>
      <c r="H417">
        <f t="shared" si="24"/>
        <v>-3.1941832122778293</v>
      </c>
      <c r="I417">
        <v>4.1000000000000002E-2</v>
      </c>
      <c r="J417" t="str">
        <f t="shared" si="25"/>
        <v>CC[N+](CC)(CC)CC.[Cl-]CC(C(=O)O)O</v>
      </c>
      <c r="K417">
        <v>56</v>
      </c>
      <c r="M417">
        <f t="shared" si="26"/>
        <v>0.43414056006046287</v>
      </c>
      <c r="N417">
        <f t="shared" si="27"/>
        <v>0.10179722987526031</v>
      </c>
    </row>
    <row r="418" spans="1:14" x14ac:dyDescent="0.35">
      <c r="A418">
        <v>416</v>
      </c>
      <c r="B418" t="s">
        <v>15</v>
      </c>
      <c r="C418" t="s">
        <v>71</v>
      </c>
      <c r="D418">
        <v>0.33333333333333331</v>
      </c>
      <c r="E418">
        <v>0.66666666666666674</v>
      </c>
      <c r="F418">
        <v>318</v>
      </c>
      <c r="G418">
        <v>1392</v>
      </c>
      <c r="H418">
        <f t="shared" si="24"/>
        <v>-3.1281214615997368</v>
      </c>
      <c r="I418">
        <v>4.3799999999999999E-2</v>
      </c>
      <c r="J418" t="str">
        <f t="shared" si="25"/>
        <v>CC[N+](CC)(CC)CC.[Cl-]CC(C(=O)O)O</v>
      </c>
      <c r="K418">
        <v>56</v>
      </c>
      <c r="M418">
        <f t="shared" si="26"/>
        <v>0.43414056006046287</v>
      </c>
      <c r="N418">
        <f t="shared" si="27"/>
        <v>0.1571664934556444</v>
      </c>
    </row>
    <row r="419" spans="1:14" x14ac:dyDescent="0.35">
      <c r="A419">
        <v>417</v>
      </c>
      <c r="B419" t="s">
        <v>15</v>
      </c>
      <c r="C419" t="s">
        <v>71</v>
      </c>
      <c r="D419">
        <v>0.33333333333333331</v>
      </c>
      <c r="E419">
        <v>0.66666666666666674</v>
      </c>
      <c r="F419">
        <v>318</v>
      </c>
      <c r="G419">
        <v>1492</v>
      </c>
      <c r="H419">
        <f t="shared" si="24"/>
        <v>-3.0640111143072857</v>
      </c>
      <c r="I419">
        <v>4.6699999999999998E-2</v>
      </c>
      <c r="J419" t="str">
        <f t="shared" si="25"/>
        <v>CC[N+](CC)(CC)CC.[Cl-]CC(C(=O)O)O</v>
      </c>
      <c r="K419">
        <v>56</v>
      </c>
      <c r="M419">
        <f t="shared" si="26"/>
        <v>0.43414056006046287</v>
      </c>
      <c r="N419">
        <f t="shared" si="27"/>
        <v>0.21309504252673947</v>
      </c>
    </row>
    <row r="420" spans="1:14" x14ac:dyDescent="0.35">
      <c r="A420">
        <v>418</v>
      </c>
      <c r="B420" t="s">
        <v>15</v>
      </c>
      <c r="C420" t="s">
        <v>71</v>
      </c>
      <c r="D420">
        <v>0.33333333333333331</v>
      </c>
      <c r="E420">
        <v>0.66666666666666674</v>
      </c>
      <c r="F420">
        <v>318</v>
      </c>
      <c r="G420">
        <v>1593</v>
      </c>
      <c r="H420">
        <f t="shared" si="24"/>
        <v>-2.9917402522844534</v>
      </c>
      <c r="I420">
        <v>5.0200000000000002E-2</v>
      </c>
      <c r="J420" t="str">
        <f t="shared" si="25"/>
        <v>CC[N+](CC)(CC)CC.[Cl-]CC(C(=O)O)O</v>
      </c>
      <c r="K420">
        <v>56</v>
      </c>
      <c r="M420">
        <f t="shared" si="26"/>
        <v>0.43414056006046287</v>
      </c>
      <c r="N420">
        <f t="shared" si="27"/>
        <v>0.26958287708854545</v>
      </c>
    </row>
    <row r="421" spans="1:14" x14ac:dyDescent="0.35">
      <c r="A421">
        <v>419</v>
      </c>
      <c r="B421" t="s">
        <v>15</v>
      </c>
      <c r="C421" t="s">
        <v>71</v>
      </c>
      <c r="D421">
        <v>0.33333333333333331</v>
      </c>
      <c r="E421">
        <v>0.66666666666666674</v>
      </c>
      <c r="F421">
        <v>318</v>
      </c>
      <c r="G421">
        <v>1693</v>
      </c>
      <c r="H421">
        <f t="shared" si="24"/>
        <v>-2.9469421093845591</v>
      </c>
      <c r="I421">
        <v>5.2499999999999998E-2</v>
      </c>
      <c r="J421" t="str">
        <f t="shared" si="25"/>
        <v>CC[N+](CC)(CC)CC.[Cl-]CC(C(=O)O)O</v>
      </c>
      <c r="K421">
        <v>56</v>
      </c>
      <c r="M421">
        <f t="shared" si="26"/>
        <v>0.43414056006046287</v>
      </c>
      <c r="N421">
        <f t="shared" si="27"/>
        <v>0.32551142615964052</v>
      </c>
    </row>
    <row r="422" spans="1:14" x14ac:dyDescent="0.35">
      <c r="A422">
        <v>420</v>
      </c>
      <c r="B422" t="s">
        <v>15</v>
      </c>
      <c r="C422" t="s">
        <v>71</v>
      </c>
      <c r="D422">
        <v>0.33333333333333331</v>
      </c>
      <c r="E422">
        <v>0.66666666666666674</v>
      </c>
      <c r="F422">
        <v>318</v>
      </c>
      <c r="G422">
        <v>1793</v>
      </c>
      <c r="H422">
        <f t="shared" si="24"/>
        <v>-2.89</v>
      </c>
      <c r="I422">
        <v>5.5576212611483058E-2</v>
      </c>
      <c r="J422" t="str">
        <f t="shared" si="25"/>
        <v>CC[N+](CC)(CC)CC.[Cl-]CC(C(=O)O)O</v>
      </c>
      <c r="K422">
        <v>56</v>
      </c>
      <c r="M422">
        <f t="shared" si="26"/>
        <v>0.43414056006046287</v>
      </c>
      <c r="N422">
        <f t="shared" si="27"/>
        <v>0.38143997523073558</v>
      </c>
    </row>
    <row r="423" spans="1:14" x14ac:dyDescent="0.35">
      <c r="A423">
        <v>421</v>
      </c>
      <c r="B423" t="s">
        <v>15</v>
      </c>
      <c r="C423" t="s">
        <v>71</v>
      </c>
      <c r="D423">
        <v>0.33333333333333331</v>
      </c>
      <c r="E423">
        <v>0.66666666666666674</v>
      </c>
      <c r="F423">
        <v>318</v>
      </c>
      <c r="G423">
        <v>1892</v>
      </c>
      <c r="H423">
        <f t="shared" si="24"/>
        <v>-2.84</v>
      </c>
      <c r="I423">
        <v>5.8425665964500828E-2</v>
      </c>
      <c r="J423" t="str">
        <f t="shared" si="25"/>
        <v>CC[N+](CC)(CC)CC.[Cl-]CC(C(=O)O)O</v>
      </c>
      <c r="K423">
        <v>56</v>
      </c>
      <c r="M423">
        <f t="shared" si="26"/>
        <v>0.43414056006046287</v>
      </c>
      <c r="N423">
        <f t="shared" si="27"/>
        <v>0.43680923881111966</v>
      </c>
    </row>
    <row r="424" spans="1:14" x14ac:dyDescent="0.35">
      <c r="A424">
        <v>422</v>
      </c>
      <c r="B424" t="s">
        <v>15</v>
      </c>
      <c r="C424" t="s">
        <v>71</v>
      </c>
      <c r="D424">
        <v>0.33333333333333331</v>
      </c>
      <c r="E424">
        <v>0.66666666666666674</v>
      </c>
      <c r="F424">
        <v>318</v>
      </c>
      <c r="G424">
        <v>1992</v>
      </c>
      <c r="H424">
        <f t="shared" si="24"/>
        <v>-2.79</v>
      </c>
      <c r="I424">
        <v>6.1421213915000127E-2</v>
      </c>
      <c r="J424" t="str">
        <f t="shared" si="25"/>
        <v>CC[N+](CC)(CC)CC.[Cl-]CC(C(=O)O)O</v>
      </c>
      <c r="K424">
        <v>56</v>
      </c>
      <c r="M424">
        <f t="shared" si="26"/>
        <v>0.43414056006046287</v>
      </c>
      <c r="N424">
        <f t="shared" si="27"/>
        <v>0.49273778788221473</v>
      </c>
    </row>
    <row r="425" spans="1:14" x14ac:dyDescent="0.35">
      <c r="A425">
        <v>423</v>
      </c>
      <c r="B425" t="s">
        <v>17</v>
      </c>
      <c r="C425" t="s">
        <v>53</v>
      </c>
      <c r="D425">
        <v>0.33333333333333331</v>
      </c>
      <c r="E425">
        <v>0.66666666666666674</v>
      </c>
      <c r="F425">
        <v>308</v>
      </c>
      <c r="G425">
        <v>98</v>
      </c>
      <c r="H425">
        <f t="shared" si="24"/>
        <v>-6.01</v>
      </c>
      <c r="I425">
        <v>2.454088180413917E-3</v>
      </c>
      <c r="J425" t="str">
        <f t="shared" si="25"/>
        <v>C[N+](C)(C)C.[Cl-]CC(C(=O)O)O</v>
      </c>
      <c r="K425">
        <v>69</v>
      </c>
      <c r="M425">
        <f t="shared" si="26"/>
        <v>-0.34957611648698239</v>
      </c>
      <c r="N425">
        <f t="shared" si="27"/>
        <v>-0.56654893152432562</v>
      </c>
    </row>
    <row r="426" spans="1:14" x14ac:dyDescent="0.35">
      <c r="A426">
        <v>424</v>
      </c>
      <c r="B426" t="s">
        <v>17</v>
      </c>
      <c r="C426" t="s">
        <v>53</v>
      </c>
      <c r="D426">
        <v>0.33333333333333331</v>
      </c>
      <c r="E426">
        <v>0.66666666666666674</v>
      </c>
      <c r="F426">
        <v>308</v>
      </c>
      <c r="G426">
        <v>194</v>
      </c>
      <c r="H426">
        <f t="shared" si="24"/>
        <v>-5.17</v>
      </c>
      <c r="I426">
        <v>5.684568819219595E-3</v>
      </c>
      <c r="J426" t="str">
        <f t="shared" si="25"/>
        <v>C[N+](C)(C)C.[Cl-]CC(C(=O)O)O</v>
      </c>
      <c r="K426">
        <v>69</v>
      </c>
      <c r="M426">
        <f t="shared" si="26"/>
        <v>-0.34957611648698239</v>
      </c>
      <c r="N426">
        <f t="shared" si="27"/>
        <v>-0.51285752441607435</v>
      </c>
    </row>
    <row r="427" spans="1:14" x14ac:dyDescent="0.35">
      <c r="A427">
        <v>425</v>
      </c>
      <c r="B427" t="s">
        <v>17</v>
      </c>
      <c r="C427" t="s">
        <v>53</v>
      </c>
      <c r="D427">
        <v>0.33333333333333331</v>
      </c>
      <c r="E427">
        <v>0.66666666666666674</v>
      </c>
      <c r="F427">
        <v>308</v>
      </c>
      <c r="G427">
        <v>295</v>
      </c>
      <c r="H427">
        <f t="shared" si="24"/>
        <v>-4.75</v>
      </c>
      <c r="I427">
        <v>8.6516952031206341E-3</v>
      </c>
      <c r="J427" t="str">
        <f t="shared" si="25"/>
        <v>C[N+](C)(C)C.[Cl-]CC(C(=O)O)O</v>
      </c>
      <c r="K427">
        <v>69</v>
      </c>
      <c r="M427">
        <f t="shared" si="26"/>
        <v>-0.34957611648698239</v>
      </c>
      <c r="N427">
        <f t="shared" si="27"/>
        <v>-0.45636968985426829</v>
      </c>
    </row>
    <row r="428" spans="1:14" x14ac:dyDescent="0.35">
      <c r="A428">
        <v>426</v>
      </c>
      <c r="B428" t="s">
        <v>17</v>
      </c>
      <c r="C428" t="s">
        <v>53</v>
      </c>
      <c r="D428">
        <v>0.33333333333333331</v>
      </c>
      <c r="E428">
        <v>0.66666666666666674</v>
      </c>
      <c r="F428">
        <v>308</v>
      </c>
      <c r="G428">
        <v>393</v>
      </c>
      <c r="H428">
        <f t="shared" si="24"/>
        <v>-4.42</v>
      </c>
      <c r="I428">
        <v>1.2034232284723775E-2</v>
      </c>
      <c r="J428" t="str">
        <f t="shared" si="25"/>
        <v>C[N+](C)(C)C.[Cl-]CC(C(=O)O)O</v>
      </c>
      <c r="K428">
        <v>69</v>
      </c>
      <c r="M428">
        <f t="shared" si="26"/>
        <v>-0.34957611648698239</v>
      </c>
      <c r="N428">
        <f t="shared" si="27"/>
        <v>-0.40155971176459515</v>
      </c>
    </row>
    <row r="429" spans="1:14" x14ac:dyDescent="0.35">
      <c r="A429">
        <v>427</v>
      </c>
      <c r="B429" t="s">
        <v>17</v>
      </c>
      <c r="C429" t="s">
        <v>53</v>
      </c>
      <c r="D429">
        <v>0.33333333333333331</v>
      </c>
      <c r="E429">
        <v>0.66666666666666674</v>
      </c>
      <c r="F429">
        <v>308</v>
      </c>
      <c r="G429">
        <v>493</v>
      </c>
      <c r="H429">
        <f t="shared" si="24"/>
        <v>-4.2</v>
      </c>
      <c r="I429">
        <v>1.4995576820477703E-2</v>
      </c>
      <c r="J429" t="str">
        <f t="shared" si="25"/>
        <v>C[N+](C)(C)C.[Cl-]CC(C(=O)O)O</v>
      </c>
      <c r="K429">
        <v>69</v>
      </c>
      <c r="M429">
        <f t="shared" si="26"/>
        <v>-0.34957611648698239</v>
      </c>
      <c r="N429">
        <f t="shared" si="27"/>
        <v>-0.34563116269350008</v>
      </c>
    </row>
    <row r="430" spans="1:14" x14ac:dyDescent="0.35">
      <c r="A430">
        <v>428</v>
      </c>
      <c r="B430" t="s">
        <v>17</v>
      </c>
      <c r="C430" t="s">
        <v>53</v>
      </c>
      <c r="D430">
        <v>0.33333333333333331</v>
      </c>
      <c r="E430">
        <v>0.66666666666666674</v>
      </c>
      <c r="F430">
        <v>308</v>
      </c>
      <c r="G430">
        <v>592</v>
      </c>
      <c r="H430">
        <f t="shared" si="24"/>
        <v>-4.0063336848993876</v>
      </c>
      <c r="I430">
        <v>1.8200000000000001E-2</v>
      </c>
      <c r="J430" t="str">
        <f t="shared" si="25"/>
        <v>C[N+](C)(C)C.[Cl-]CC(C(=O)O)O</v>
      </c>
      <c r="K430">
        <v>69</v>
      </c>
      <c r="M430">
        <f t="shared" si="26"/>
        <v>-0.34957611648698239</v>
      </c>
      <c r="N430">
        <f t="shared" si="27"/>
        <v>-0.29026189911311601</v>
      </c>
    </row>
    <row r="431" spans="1:14" x14ac:dyDescent="0.35">
      <c r="A431">
        <v>429</v>
      </c>
      <c r="B431" t="s">
        <v>17</v>
      </c>
      <c r="C431" t="s">
        <v>53</v>
      </c>
      <c r="D431">
        <v>0.33333333333333331</v>
      </c>
      <c r="E431">
        <v>0.66666666666666674</v>
      </c>
      <c r="F431">
        <v>308</v>
      </c>
      <c r="G431">
        <v>692</v>
      </c>
      <c r="H431">
        <f t="shared" si="24"/>
        <v>-3.84</v>
      </c>
      <c r="I431">
        <v>2.1493601345089923E-2</v>
      </c>
      <c r="J431" t="str">
        <f t="shared" si="25"/>
        <v>C[N+](C)(C)C.[Cl-]CC(C(=O)O)O</v>
      </c>
      <c r="K431">
        <v>69</v>
      </c>
      <c r="M431">
        <f t="shared" si="26"/>
        <v>-0.34957611648698239</v>
      </c>
      <c r="N431">
        <f t="shared" si="27"/>
        <v>-0.23433335004202097</v>
      </c>
    </row>
    <row r="432" spans="1:14" x14ac:dyDescent="0.35">
      <c r="A432">
        <v>430</v>
      </c>
      <c r="B432" t="s">
        <v>17</v>
      </c>
      <c r="C432" t="s">
        <v>53</v>
      </c>
      <c r="D432">
        <v>0.33333333333333331</v>
      </c>
      <c r="E432">
        <v>0.66666666666666674</v>
      </c>
      <c r="F432">
        <v>308</v>
      </c>
      <c r="G432">
        <v>793</v>
      </c>
      <c r="H432">
        <f t="shared" si="24"/>
        <v>-3.7</v>
      </c>
      <c r="I432">
        <v>2.4723526470339388E-2</v>
      </c>
      <c r="J432" t="str">
        <f t="shared" si="25"/>
        <v>C[N+](C)(C)C.[Cl-]CC(C(=O)O)O</v>
      </c>
      <c r="K432">
        <v>69</v>
      </c>
      <c r="M432">
        <f t="shared" si="26"/>
        <v>-0.34957611648698239</v>
      </c>
      <c r="N432">
        <f t="shared" si="27"/>
        <v>-0.17784551548021496</v>
      </c>
    </row>
    <row r="433" spans="1:14" x14ac:dyDescent="0.35">
      <c r="A433">
        <v>431</v>
      </c>
      <c r="B433" t="s">
        <v>17</v>
      </c>
      <c r="C433" t="s">
        <v>53</v>
      </c>
      <c r="D433">
        <v>0.33333333333333331</v>
      </c>
      <c r="E433">
        <v>0.66666666666666674</v>
      </c>
      <c r="F433">
        <v>308</v>
      </c>
      <c r="G433">
        <v>893</v>
      </c>
      <c r="H433">
        <f t="shared" si="24"/>
        <v>-3.5863228657888442</v>
      </c>
      <c r="I433">
        <v>2.7699999999999999E-2</v>
      </c>
      <c r="J433" t="str">
        <f t="shared" si="25"/>
        <v>C[N+](C)(C)C.[Cl-]CC(C(=O)O)O</v>
      </c>
      <c r="K433">
        <v>69</v>
      </c>
      <c r="M433">
        <f t="shared" si="26"/>
        <v>-0.34957611648698239</v>
      </c>
      <c r="N433">
        <f t="shared" si="27"/>
        <v>-0.12191696640911989</v>
      </c>
    </row>
    <row r="434" spans="1:14" x14ac:dyDescent="0.35">
      <c r="A434">
        <v>432</v>
      </c>
      <c r="B434" t="s">
        <v>17</v>
      </c>
      <c r="C434" t="s">
        <v>53</v>
      </c>
      <c r="D434">
        <v>0.33333333333333331</v>
      </c>
      <c r="E434">
        <v>0.66666666666666674</v>
      </c>
      <c r="F434">
        <v>308</v>
      </c>
      <c r="G434">
        <v>993</v>
      </c>
      <c r="H434">
        <f t="shared" si="24"/>
        <v>-3.4834926243889854</v>
      </c>
      <c r="I434">
        <v>3.0700000000000002E-2</v>
      </c>
      <c r="J434" t="str">
        <f t="shared" si="25"/>
        <v>C[N+](C)(C)C.[Cl-]CC(C(=O)O)O</v>
      </c>
      <c r="K434">
        <v>69</v>
      </c>
      <c r="M434">
        <f t="shared" si="26"/>
        <v>-0.34957611648698239</v>
      </c>
      <c r="N434">
        <f t="shared" si="27"/>
        <v>-6.5988417338024838E-2</v>
      </c>
    </row>
    <row r="435" spans="1:14" x14ac:dyDescent="0.35">
      <c r="A435">
        <v>433</v>
      </c>
      <c r="B435" t="s">
        <v>17</v>
      </c>
      <c r="C435" t="s">
        <v>53</v>
      </c>
      <c r="D435">
        <v>0.33333333333333331</v>
      </c>
      <c r="E435">
        <v>0.66666666666666674</v>
      </c>
      <c r="F435">
        <v>308</v>
      </c>
      <c r="G435">
        <v>1093</v>
      </c>
      <c r="H435">
        <f t="shared" si="24"/>
        <v>-3.38</v>
      </c>
      <c r="I435">
        <v>3.4047454734599344E-2</v>
      </c>
      <c r="J435" t="str">
        <f t="shared" si="25"/>
        <v>C[N+](C)(C)C.[Cl-]CC(C(=O)O)O</v>
      </c>
      <c r="K435">
        <v>69</v>
      </c>
      <c r="M435">
        <f t="shared" si="26"/>
        <v>-0.34957611648698239</v>
      </c>
      <c r="N435">
        <f t="shared" si="27"/>
        <v>-1.0059868266929792E-2</v>
      </c>
    </row>
    <row r="436" spans="1:14" x14ac:dyDescent="0.35">
      <c r="A436">
        <v>434</v>
      </c>
      <c r="B436" t="s">
        <v>17</v>
      </c>
      <c r="C436" t="s">
        <v>53</v>
      </c>
      <c r="D436">
        <v>0.33333333333333331</v>
      </c>
      <c r="E436">
        <v>0.66666666666666674</v>
      </c>
      <c r="F436">
        <v>308</v>
      </c>
      <c r="G436">
        <v>1192</v>
      </c>
      <c r="H436">
        <f t="shared" si="24"/>
        <v>-3.3</v>
      </c>
      <c r="I436">
        <v>3.6883167401240015E-2</v>
      </c>
      <c r="J436" t="str">
        <f t="shared" si="25"/>
        <v>C[N+](C)(C)C.[Cl-]CC(C(=O)O)O</v>
      </c>
      <c r="K436">
        <v>69</v>
      </c>
      <c r="M436">
        <f t="shared" si="26"/>
        <v>-0.34957611648698239</v>
      </c>
      <c r="N436">
        <f t="shared" si="27"/>
        <v>4.5309395313454313E-2</v>
      </c>
    </row>
    <row r="437" spans="1:14" x14ac:dyDescent="0.35">
      <c r="A437">
        <v>435</v>
      </c>
      <c r="B437" t="s">
        <v>17</v>
      </c>
      <c r="C437" t="s">
        <v>53</v>
      </c>
      <c r="D437">
        <v>0.33333333333333331</v>
      </c>
      <c r="E437">
        <v>0.66666666666666674</v>
      </c>
      <c r="F437">
        <v>308</v>
      </c>
      <c r="G437">
        <v>1292</v>
      </c>
      <c r="H437">
        <f t="shared" si="24"/>
        <v>-3.2314546070750607</v>
      </c>
      <c r="I437">
        <v>3.95E-2</v>
      </c>
      <c r="J437" t="str">
        <f t="shared" si="25"/>
        <v>C[N+](C)(C)C.[Cl-]CC(C(=O)O)O</v>
      </c>
      <c r="K437">
        <v>69</v>
      </c>
      <c r="M437">
        <f t="shared" si="26"/>
        <v>-0.34957611648698239</v>
      </c>
      <c r="N437">
        <f t="shared" si="27"/>
        <v>0.10123794438454936</v>
      </c>
    </row>
    <row r="438" spans="1:14" x14ac:dyDescent="0.35">
      <c r="A438">
        <v>436</v>
      </c>
      <c r="B438" t="s">
        <v>17</v>
      </c>
      <c r="C438" t="s">
        <v>53</v>
      </c>
      <c r="D438">
        <v>0.33333333333333331</v>
      </c>
      <c r="E438">
        <v>0.66666666666666674</v>
      </c>
      <c r="F438">
        <v>308</v>
      </c>
      <c r="G438">
        <v>1392</v>
      </c>
      <c r="H438">
        <f t="shared" si="24"/>
        <v>-3.17</v>
      </c>
      <c r="I438">
        <v>4.2003597903445551E-2</v>
      </c>
      <c r="J438" t="str">
        <f t="shared" si="25"/>
        <v>C[N+](C)(C)C.[Cl-]CC(C(=O)O)O</v>
      </c>
      <c r="K438">
        <v>69</v>
      </c>
      <c r="M438">
        <f t="shared" si="26"/>
        <v>-0.34957611648698239</v>
      </c>
      <c r="N438">
        <f t="shared" si="27"/>
        <v>0.1571664934556444</v>
      </c>
    </row>
    <row r="439" spans="1:14" x14ac:dyDescent="0.35">
      <c r="A439">
        <v>437</v>
      </c>
      <c r="B439" t="s">
        <v>17</v>
      </c>
      <c r="C439" t="s">
        <v>53</v>
      </c>
      <c r="D439">
        <v>0.33333333333333331</v>
      </c>
      <c r="E439">
        <v>0.66666666666666674</v>
      </c>
      <c r="F439">
        <v>308</v>
      </c>
      <c r="G439">
        <v>1492</v>
      </c>
      <c r="H439">
        <f t="shared" si="24"/>
        <v>-3.1055471395611978</v>
      </c>
      <c r="I439">
        <v>4.48E-2</v>
      </c>
      <c r="J439" t="str">
        <f t="shared" si="25"/>
        <v>C[N+](C)(C)C.[Cl-]CC(C(=O)O)O</v>
      </c>
      <c r="K439">
        <v>69</v>
      </c>
      <c r="M439">
        <f t="shared" si="26"/>
        <v>-0.34957611648698239</v>
      </c>
      <c r="N439">
        <f t="shared" si="27"/>
        <v>0.21309504252673947</v>
      </c>
    </row>
    <row r="440" spans="1:14" x14ac:dyDescent="0.35">
      <c r="A440">
        <v>438</v>
      </c>
      <c r="B440" t="s">
        <v>17</v>
      </c>
      <c r="C440" t="s">
        <v>53</v>
      </c>
      <c r="D440">
        <v>0.33333333333333331</v>
      </c>
      <c r="E440">
        <v>0.66666666666666674</v>
      </c>
      <c r="F440">
        <v>308</v>
      </c>
      <c r="G440">
        <v>1593</v>
      </c>
      <c r="H440">
        <f t="shared" si="24"/>
        <v>-3.0323962579255825</v>
      </c>
      <c r="I440">
        <v>4.82E-2</v>
      </c>
      <c r="J440" t="str">
        <f t="shared" si="25"/>
        <v>C[N+](C)(C)C.[Cl-]CC(C(=O)O)O</v>
      </c>
      <c r="K440">
        <v>69</v>
      </c>
      <c r="M440">
        <f t="shared" si="26"/>
        <v>-0.34957611648698239</v>
      </c>
      <c r="N440">
        <f t="shared" si="27"/>
        <v>0.26958287708854545</v>
      </c>
    </row>
    <row r="441" spans="1:14" x14ac:dyDescent="0.35">
      <c r="A441">
        <v>439</v>
      </c>
      <c r="B441" t="s">
        <v>17</v>
      </c>
      <c r="C441" t="s">
        <v>53</v>
      </c>
      <c r="D441">
        <v>0.33333333333333331</v>
      </c>
      <c r="E441">
        <v>0.66666666666666674</v>
      </c>
      <c r="F441">
        <v>308</v>
      </c>
      <c r="G441">
        <v>1692</v>
      </c>
      <c r="H441">
        <f t="shared" si="24"/>
        <v>-2.9759296462578115</v>
      </c>
      <c r="I441">
        <v>5.0999999999999997E-2</v>
      </c>
      <c r="J441" t="str">
        <f t="shared" si="25"/>
        <v>C[N+](C)(C)C.[Cl-]CC(C(=O)O)O</v>
      </c>
      <c r="K441">
        <v>69</v>
      </c>
      <c r="M441">
        <f t="shared" si="26"/>
        <v>-0.34957611648698239</v>
      </c>
      <c r="N441">
        <f t="shared" si="27"/>
        <v>0.32495214066892958</v>
      </c>
    </row>
    <row r="442" spans="1:14" x14ac:dyDescent="0.35">
      <c r="A442">
        <v>440</v>
      </c>
      <c r="B442" t="s">
        <v>17</v>
      </c>
      <c r="C442" t="s">
        <v>53</v>
      </c>
      <c r="D442">
        <v>0.33333333333333331</v>
      </c>
      <c r="E442">
        <v>0.66666666666666674</v>
      </c>
      <c r="F442">
        <v>308</v>
      </c>
      <c r="G442">
        <v>1793</v>
      </c>
      <c r="H442">
        <f t="shared" si="24"/>
        <v>-2.9262062109053808</v>
      </c>
      <c r="I442">
        <v>5.3600000000000002E-2</v>
      </c>
      <c r="J442" t="str">
        <f t="shared" si="25"/>
        <v>C[N+](C)(C)C.[Cl-]CC(C(=O)O)O</v>
      </c>
      <c r="K442">
        <v>69</v>
      </c>
      <c r="M442">
        <f t="shared" si="26"/>
        <v>-0.34957611648698239</v>
      </c>
      <c r="N442">
        <f t="shared" si="27"/>
        <v>0.38143997523073558</v>
      </c>
    </row>
    <row r="443" spans="1:14" x14ac:dyDescent="0.35">
      <c r="A443">
        <v>441</v>
      </c>
      <c r="B443" t="s">
        <v>17</v>
      </c>
      <c r="C443" t="s">
        <v>53</v>
      </c>
      <c r="D443">
        <v>0.33333333333333331</v>
      </c>
      <c r="E443">
        <v>0.66666666666666674</v>
      </c>
      <c r="F443">
        <v>308</v>
      </c>
      <c r="G443">
        <v>1892</v>
      </c>
      <c r="H443">
        <f t="shared" si="24"/>
        <v>-2.88</v>
      </c>
      <c r="I443">
        <v>5.6134762834133725E-2</v>
      </c>
      <c r="J443" t="str">
        <f t="shared" si="25"/>
        <v>C[N+](C)(C)C.[Cl-]CC(C(=O)O)O</v>
      </c>
      <c r="K443">
        <v>69</v>
      </c>
      <c r="M443">
        <f t="shared" si="26"/>
        <v>-0.34957611648698239</v>
      </c>
      <c r="N443">
        <f t="shared" si="27"/>
        <v>0.43680923881111966</v>
      </c>
    </row>
    <row r="444" spans="1:14" x14ac:dyDescent="0.35">
      <c r="A444">
        <v>442</v>
      </c>
      <c r="B444" t="s">
        <v>17</v>
      </c>
      <c r="C444" t="s">
        <v>53</v>
      </c>
      <c r="D444">
        <v>0.33333333333333331</v>
      </c>
      <c r="E444">
        <v>0.66666666666666674</v>
      </c>
      <c r="F444">
        <v>308</v>
      </c>
      <c r="G444">
        <v>1992</v>
      </c>
      <c r="H444">
        <f t="shared" si="24"/>
        <v>-2.8336134240775559</v>
      </c>
      <c r="I444">
        <v>5.8799999999999998E-2</v>
      </c>
      <c r="J444" t="str">
        <f t="shared" si="25"/>
        <v>C[N+](C)(C)C.[Cl-]CC(C(=O)O)O</v>
      </c>
      <c r="K444">
        <v>69</v>
      </c>
      <c r="M444">
        <f t="shared" si="26"/>
        <v>-0.34957611648698239</v>
      </c>
      <c r="N444">
        <f t="shared" si="27"/>
        <v>0.49273778788221473</v>
      </c>
    </row>
    <row r="445" spans="1:14" x14ac:dyDescent="0.35">
      <c r="A445">
        <v>443</v>
      </c>
      <c r="B445" t="s">
        <v>17</v>
      </c>
      <c r="C445" t="s">
        <v>53</v>
      </c>
      <c r="D445">
        <v>0.33333333333333331</v>
      </c>
      <c r="E445">
        <v>0.66666666666666674</v>
      </c>
      <c r="F445">
        <v>318</v>
      </c>
      <c r="G445">
        <v>95</v>
      </c>
      <c r="H445">
        <f t="shared" si="24"/>
        <v>-6.07</v>
      </c>
      <c r="I445">
        <v>2.3111732106021292E-3</v>
      </c>
      <c r="J445" t="str">
        <f t="shared" si="25"/>
        <v>C[N+](C)(C)C.[Cl-]CC(C(=O)O)O</v>
      </c>
      <c r="K445">
        <v>69</v>
      </c>
      <c r="M445">
        <f t="shared" si="26"/>
        <v>0.43414056006046287</v>
      </c>
      <c r="N445">
        <f t="shared" si="27"/>
        <v>-0.56822678799645843</v>
      </c>
    </row>
    <row r="446" spans="1:14" x14ac:dyDescent="0.35">
      <c r="A446">
        <v>444</v>
      </c>
      <c r="B446" t="s">
        <v>17</v>
      </c>
      <c r="C446" t="s">
        <v>53</v>
      </c>
      <c r="D446">
        <v>0.33333333333333331</v>
      </c>
      <c r="E446">
        <v>0.66666666666666674</v>
      </c>
      <c r="F446">
        <v>318</v>
      </c>
      <c r="G446">
        <v>194</v>
      </c>
      <c r="H446">
        <f t="shared" si="24"/>
        <v>-5.24</v>
      </c>
      <c r="I446">
        <v>5.3002568358704021E-3</v>
      </c>
      <c r="J446" t="str">
        <f t="shared" si="25"/>
        <v>C[N+](C)(C)C.[Cl-]CC(C(=O)O)O</v>
      </c>
      <c r="K446">
        <v>69</v>
      </c>
      <c r="M446">
        <f t="shared" si="26"/>
        <v>0.43414056006046287</v>
      </c>
      <c r="N446">
        <f t="shared" si="27"/>
        <v>-0.51285752441607435</v>
      </c>
    </row>
    <row r="447" spans="1:14" x14ac:dyDescent="0.35">
      <c r="A447">
        <v>445</v>
      </c>
      <c r="B447" t="s">
        <v>17</v>
      </c>
      <c r="C447" t="s">
        <v>53</v>
      </c>
      <c r="D447">
        <v>0.33333333333333331</v>
      </c>
      <c r="E447">
        <v>0.66666666666666674</v>
      </c>
      <c r="F447">
        <v>318</v>
      </c>
      <c r="G447">
        <v>293</v>
      </c>
      <c r="H447">
        <f t="shared" si="24"/>
        <v>-4.82</v>
      </c>
      <c r="I447">
        <v>8.0667871390996144E-3</v>
      </c>
      <c r="J447" t="str">
        <f t="shared" si="25"/>
        <v>C[N+](C)(C)C.[Cl-]CC(C(=O)O)O</v>
      </c>
      <c r="K447">
        <v>69</v>
      </c>
      <c r="M447">
        <f t="shared" si="26"/>
        <v>0.43414056006046287</v>
      </c>
      <c r="N447">
        <f t="shared" si="27"/>
        <v>-0.45748826083569022</v>
      </c>
    </row>
    <row r="448" spans="1:14" x14ac:dyDescent="0.35">
      <c r="A448">
        <v>446</v>
      </c>
      <c r="B448" t="s">
        <v>17</v>
      </c>
      <c r="C448" t="s">
        <v>53</v>
      </c>
      <c r="D448">
        <v>0.33333333333333331</v>
      </c>
      <c r="E448">
        <v>0.66666666666666674</v>
      </c>
      <c r="F448">
        <v>318</v>
      </c>
      <c r="G448">
        <v>393</v>
      </c>
      <c r="H448">
        <f t="shared" si="24"/>
        <v>-4.5659494728348102</v>
      </c>
      <c r="I448">
        <v>1.04E-2</v>
      </c>
      <c r="J448" t="str">
        <f t="shared" si="25"/>
        <v>C[N+](C)(C)C.[Cl-]CC(C(=O)O)O</v>
      </c>
      <c r="K448">
        <v>69</v>
      </c>
      <c r="M448">
        <f t="shared" si="26"/>
        <v>0.43414056006046287</v>
      </c>
      <c r="N448">
        <f t="shared" si="27"/>
        <v>-0.40155971176459515</v>
      </c>
    </row>
    <row r="449" spans="1:14" x14ac:dyDescent="0.35">
      <c r="A449">
        <v>447</v>
      </c>
      <c r="B449" t="s">
        <v>17</v>
      </c>
      <c r="C449" t="s">
        <v>53</v>
      </c>
      <c r="D449">
        <v>0.33333333333333331</v>
      </c>
      <c r="E449">
        <v>0.66666666666666674</v>
      </c>
      <c r="F449">
        <v>318</v>
      </c>
      <c r="G449">
        <v>493</v>
      </c>
      <c r="H449">
        <f t="shared" si="24"/>
        <v>-4.3275384493898121</v>
      </c>
      <c r="I449">
        <v>1.32E-2</v>
      </c>
      <c r="J449" t="str">
        <f t="shared" si="25"/>
        <v>C[N+](C)(C)C.[Cl-]CC(C(=O)O)O</v>
      </c>
      <c r="K449">
        <v>69</v>
      </c>
      <c r="M449">
        <f t="shared" si="26"/>
        <v>0.43414056006046287</v>
      </c>
      <c r="N449">
        <f t="shared" si="27"/>
        <v>-0.34563116269350008</v>
      </c>
    </row>
    <row r="450" spans="1:14" x14ac:dyDescent="0.35">
      <c r="A450">
        <v>448</v>
      </c>
      <c r="B450" t="s">
        <v>17</v>
      </c>
      <c r="C450" t="s">
        <v>53</v>
      </c>
      <c r="D450">
        <v>0.33333333333333331</v>
      </c>
      <c r="E450">
        <v>0.66666666666666674</v>
      </c>
      <c r="F450">
        <v>318</v>
      </c>
      <c r="G450">
        <v>593</v>
      </c>
      <c r="H450">
        <f t="shared" si="24"/>
        <v>-4.1500000000000004</v>
      </c>
      <c r="I450">
        <v>1.5764416484854486E-2</v>
      </c>
      <c r="J450" t="str">
        <f t="shared" si="25"/>
        <v>C[N+](C)(C)C.[Cl-]CC(C(=O)O)O</v>
      </c>
      <c r="K450">
        <v>69</v>
      </c>
      <c r="M450">
        <f t="shared" si="26"/>
        <v>0.43414056006046287</v>
      </c>
      <c r="N450">
        <f t="shared" si="27"/>
        <v>-0.28970261362240507</v>
      </c>
    </row>
    <row r="451" spans="1:14" x14ac:dyDescent="0.35">
      <c r="A451">
        <v>449</v>
      </c>
      <c r="B451" t="s">
        <v>17</v>
      </c>
      <c r="C451" t="s">
        <v>53</v>
      </c>
      <c r="D451">
        <v>0.33333333333333331</v>
      </c>
      <c r="E451">
        <v>0.66666666666666674</v>
      </c>
      <c r="F451">
        <v>318</v>
      </c>
      <c r="G451">
        <v>692</v>
      </c>
      <c r="H451">
        <f t="shared" ref="H451:H514" si="28">LN(I451)</f>
        <v>-3.97</v>
      </c>
      <c r="I451">
        <v>1.8873433135151486E-2</v>
      </c>
      <c r="J451" t="str">
        <f t="shared" ref="J451:J514" si="29">_xlfn.CONCAT(B451,C451)</f>
        <v>C[N+](C)(C)C.[Cl-]CC(C(=O)O)O</v>
      </c>
      <c r="K451">
        <v>69</v>
      </c>
      <c r="M451">
        <f t="shared" ref="M451:M514" si="30">(F451-$L$3)/$L$2</f>
        <v>0.43414056006046287</v>
      </c>
      <c r="N451">
        <f t="shared" ref="N451:N514" si="31">(G451-$L$6)/$L$5</f>
        <v>-0.23433335004202097</v>
      </c>
    </row>
    <row r="452" spans="1:14" x14ac:dyDescent="0.35">
      <c r="A452">
        <v>450</v>
      </c>
      <c r="B452" t="s">
        <v>17</v>
      </c>
      <c r="C452" t="s">
        <v>53</v>
      </c>
      <c r="D452">
        <v>0.33333333333333331</v>
      </c>
      <c r="E452">
        <v>0.66666666666666674</v>
      </c>
      <c r="F452">
        <v>318</v>
      </c>
      <c r="G452">
        <v>792</v>
      </c>
      <c r="H452">
        <f t="shared" si="28"/>
        <v>-3.8443643569543311</v>
      </c>
      <c r="I452">
        <v>2.1399999999999999E-2</v>
      </c>
      <c r="J452" t="str">
        <f t="shared" si="29"/>
        <v>C[N+](C)(C)C.[Cl-]CC(C(=O)O)O</v>
      </c>
      <c r="K452">
        <v>69</v>
      </c>
      <c r="M452">
        <f t="shared" si="30"/>
        <v>0.43414056006046287</v>
      </c>
      <c r="N452">
        <f t="shared" si="31"/>
        <v>-0.1784048009709259</v>
      </c>
    </row>
    <row r="453" spans="1:14" x14ac:dyDescent="0.35">
      <c r="A453">
        <v>451</v>
      </c>
      <c r="B453" t="s">
        <v>17</v>
      </c>
      <c r="C453" t="s">
        <v>53</v>
      </c>
      <c r="D453">
        <v>0.33333333333333331</v>
      </c>
      <c r="E453">
        <v>0.66666666666666674</v>
      </c>
      <c r="F453">
        <v>318</v>
      </c>
      <c r="G453">
        <v>893</v>
      </c>
      <c r="H453">
        <f t="shared" si="28"/>
        <v>-3.73</v>
      </c>
      <c r="I453">
        <v>2.3992835836709175E-2</v>
      </c>
      <c r="J453" t="str">
        <f t="shared" si="29"/>
        <v>C[N+](C)(C)C.[Cl-]CC(C(=O)O)O</v>
      </c>
      <c r="K453">
        <v>69</v>
      </c>
      <c r="M453">
        <f t="shared" si="30"/>
        <v>0.43414056006046287</v>
      </c>
      <c r="N453">
        <f t="shared" si="31"/>
        <v>-0.12191696640911989</v>
      </c>
    </row>
    <row r="454" spans="1:14" x14ac:dyDescent="0.35">
      <c r="A454">
        <v>452</v>
      </c>
      <c r="B454" t="s">
        <v>17</v>
      </c>
      <c r="C454" t="s">
        <v>53</v>
      </c>
      <c r="D454">
        <v>0.33333333333333331</v>
      </c>
      <c r="E454">
        <v>0.66666666666666674</v>
      </c>
      <c r="F454">
        <v>318</v>
      </c>
      <c r="G454">
        <v>992</v>
      </c>
      <c r="H454">
        <f t="shared" si="28"/>
        <v>-3.63</v>
      </c>
      <c r="I454">
        <v>2.6516184408894181E-2</v>
      </c>
      <c r="J454" t="str">
        <f t="shared" si="29"/>
        <v>C[N+](C)(C)C.[Cl-]CC(C(=O)O)O</v>
      </c>
      <c r="K454">
        <v>69</v>
      </c>
      <c r="M454">
        <f t="shared" si="30"/>
        <v>0.43414056006046287</v>
      </c>
      <c r="N454">
        <f t="shared" si="31"/>
        <v>-6.6547702828735789E-2</v>
      </c>
    </row>
    <row r="455" spans="1:14" x14ac:dyDescent="0.35">
      <c r="A455">
        <v>453</v>
      </c>
      <c r="B455" t="s">
        <v>17</v>
      </c>
      <c r="C455" t="s">
        <v>53</v>
      </c>
      <c r="D455">
        <v>0.33333333333333331</v>
      </c>
      <c r="E455">
        <v>0.66666666666666674</v>
      </c>
      <c r="F455">
        <v>318</v>
      </c>
      <c r="G455">
        <v>1093</v>
      </c>
      <c r="H455">
        <f t="shared" si="28"/>
        <v>-3.54</v>
      </c>
      <c r="I455">
        <v>2.9013327082197053E-2</v>
      </c>
      <c r="J455" t="str">
        <f t="shared" si="29"/>
        <v>C[N+](C)(C)C.[Cl-]CC(C(=O)O)O</v>
      </c>
      <c r="K455">
        <v>69</v>
      </c>
      <c r="M455">
        <f t="shared" si="30"/>
        <v>0.43414056006046287</v>
      </c>
      <c r="N455">
        <f t="shared" si="31"/>
        <v>-1.0059868266929792E-2</v>
      </c>
    </row>
    <row r="456" spans="1:14" x14ac:dyDescent="0.35">
      <c r="A456">
        <v>454</v>
      </c>
      <c r="B456" t="s">
        <v>17</v>
      </c>
      <c r="C456" t="s">
        <v>53</v>
      </c>
      <c r="D456">
        <v>0.33333333333333331</v>
      </c>
      <c r="E456">
        <v>0.66666666666666674</v>
      </c>
      <c r="F456">
        <v>318</v>
      </c>
      <c r="G456">
        <v>1193</v>
      </c>
      <c r="H456">
        <f t="shared" si="28"/>
        <v>-3.45</v>
      </c>
      <c r="I456">
        <v>3.1745636378067939E-2</v>
      </c>
      <c r="J456" t="str">
        <f t="shared" si="29"/>
        <v>C[N+](C)(C)C.[Cl-]CC(C(=O)O)O</v>
      </c>
      <c r="K456">
        <v>69</v>
      </c>
      <c r="M456">
        <f t="shared" si="30"/>
        <v>0.43414056006046287</v>
      </c>
      <c r="N456">
        <f t="shared" si="31"/>
        <v>4.5868680804165264E-2</v>
      </c>
    </row>
    <row r="457" spans="1:14" x14ac:dyDescent="0.35">
      <c r="A457">
        <v>455</v>
      </c>
      <c r="B457" t="s">
        <v>17</v>
      </c>
      <c r="C457" t="s">
        <v>53</v>
      </c>
      <c r="D457">
        <v>0.33333333333333331</v>
      </c>
      <c r="E457">
        <v>0.66666666666666674</v>
      </c>
      <c r="F457">
        <v>318</v>
      </c>
      <c r="G457">
        <v>1292</v>
      </c>
      <c r="H457">
        <f t="shared" si="28"/>
        <v>-3.3784578946926658</v>
      </c>
      <c r="I457">
        <v>3.4099999999999998E-2</v>
      </c>
      <c r="J457" t="str">
        <f t="shared" si="29"/>
        <v>C[N+](C)(C)C.[Cl-]CC(C(=O)O)O</v>
      </c>
      <c r="K457">
        <v>69</v>
      </c>
      <c r="M457">
        <f t="shared" si="30"/>
        <v>0.43414056006046287</v>
      </c>
      <c r="N457">
        <f t="shared" si="31"/>
        <v>0.10123794438454936</v>
      </c>
    </row>
    <row r="458" spans="1:14" x14ac:dyDescent="0.35">
      <c r="A458">
        <v>456</v>
      </c>
      <c r="B458" t="s">
        <v>17</v>
      </c>
      <c r="C458" t="s">
        <v>53</v>
      </c>
      <c r="D458">
        <v>0.33333333333333331</v>
      </c>
      <c r="E458">
        <v>0.66666666666666674</v>
      </c>
      <c r="F458">
        <v>318</v>
      </c>
      <c r="G458">
        <v>1393</v>
      </c>
      <c r="H458">
        <f t="shared" si="28"/>
        <v>-3.31</v>
      </c>
      <c r="I458">
        <v>3.6516173753740402E-2</v>
      </c>
      <c r="J458" t="str">
        <f t="shared" si="29"/>
        <v>C[N+](C)(C)C.[Cl-]CC(C(=O)O)O</v>
      </c>
      <c r="K458">
        <v>69</v>
      </c>
      <c r="M458">
        <f t="shared" si="30"/>
        <v>0.43414056006046287</v>
      </c>
      <c r="N458">
        <f t="shared" si="31"/>
        <v>0.15772577894635537</v>
      </c>
    </row>
    <row r="459" spans="1:14" x14ac:dyDescent="0.35">
      <c r="A459">
        <v>457</v>
      </c>
      <c r="B459" t="s">
        <v>17</v>
      </c>
      <c r="C459" t="s">
        <v>53</v>
      </c>
      <c r="D459">
        <v>0.33333333333333331</v>
      </c>
      <c r="E459">
        <v>0.66666666666666674</v>
      </c>
      <c r="F459">
        <v>318</v>
      </c>
      <c r="G459">
        <v>1493</v>
      </c>
      <c r="H459">
        <f t="shared" si="28"/>
        <v>-3.25</v>
      </c>
      <c r="I459">
        <v>3.8774207831722009E-2</v>
      </c>
      <c r="J459" t="str">
        <f t="shared" si="29"/>
        <v>C[N+](C)(C)C.[Cl-]CC(C(=O)O)O</v>
      </c>
      <c r="K459">
        <v>69</v>
      </c>
      <c r="M459">
        <f t="shared" si="30"/>
        <v>0.43414056006046287</v>
      </c>
      <c r="N459">
        <f t="shared" si="31"/>
        <v>0.21365432801745041</v>
      </c>
    </row>
    <row r="460" spans="1:14" x14ac:dyDescent="0.35">
      <c r="A460">
        <v>458</v>
      </c>
      <c r="B460" t="s">
        <v>17</v>
      </c>
      <c r="C460" t="s">
        <v>53</v>
      </c>
      <c r="D460">
        <v>0.33333333333333331</v>
      </c>
      <c r="E460">
        <v>0.66666666666666674</v>
      </c>
      <c r="F460">
        <v>318</v>
      </c>
      <c r="G460">
        <v>1593</v>
      </c>
      <c r="H460">
        <f t="shared" si="28"/>
        <v>-3.18689277901515</v>
      </c>
      <c r="I460">
        <v>4.1300000000000003E-2</v>
      </c>
      <c r="J460" t="str">
        <f t="shared" si="29"/>
        <v>C[N+](C)(C)C.[Cl-]CC(C(=O)O)O</v>
      </c>
      <c r="K460">
        <v>69</v>
      </c>
      <c r="M460">
        <f t="shared" si="30"/>
        <v>0.43414056006046287</v>
      </c>
      <c r="N460">
        <f t="shared" si="31"/>
        <v>0.26958287708854545</v>
      </c>
    </row>
    <row r="461" spans="1:14" x14ac:dyDescent="0.35">
      <c r="A461">
        <v>459</v>
      </c>
      <c r="B461" t="s">
        <v>17</v>
      </c>
      <c r="C461" t="s">
        <v>53</v>
      </c>
      <c r="D461">
        <v>0.33333333333333331</v>
      </c>
      <c r="E461">
        <v>0.66666666666666674</v>
      </c>
      <c r="F461">
        <v>318</v>
      </c>
      <c r="G461">
        <v>1692</v>
      </c>
      <c r="H461">
        <f t="shared" si="28"/>
        <v>-3.13</v>
      </c>
      <c r="I461">
        <v>4.3717797252750941E-2</v>
      </c>
      <c r="J461" t="str">
        <f t="shared" si="29"/>
        <v>C[N+](C)(C)C.[Cl-]CC(C(=O)O)O</v>
      </c>
      <c r="K461">
        <v>69</v>
      </c>
      <c r="M461">
        <f t="shared" si="30"/>
        <v>0.43414056006046287</v>
      </c>
      <c r="N461">
        <f t="shared" si="31"/>
        <v>0.32495214066892958</v>
      </c>
    </row>
    <row r="462" spans="1:14" x14ac:dyDescent="0.35">
      <c r="A462">
        <v>460</v>
      </c>
      <c r="B462" t="s">
        <v>17</v>
      </c>
      <c r="C462" t="s">
        <v>53</v>
      </c>
      <c r="D462">
        <v>0.33333333333333331</v>
      </c>
      <c r="E462">
        <v>0.66666666666666674</v>
      </c>
      <c r="F462">
        <v>318</v>
      </c>
      <c r="G462">
        <v>1792</v>
      </c>
      <c r="H462">
        <f t="shared" si="28"/>
        <v>-3.09</v>
      </c>
      <c r="I462">
        <v>4.550195440462157E-2</v>
      </c>
      <c r="J462" t="str">
        <f t="shared" si="29"/>
        <v>C[N+](C)(C)C.[Cl-]CC(C(=O)O)O</v>
      </c>
      <c r="K462">
        <v>69</v>
      </c>
      <c r="M462">
        <f t="shared" si="30"/>
        <v>0.43414056006046287</v>
      </c>
      <c r="N462">
        <f t="shared" si="31"/>
        <v>0.38088068974002465</v>
      </c>
    </row>
    <row r="463" spans="1:14" x14ac:dyDescent="0.35">
      <c r="A463">
        <v>461</v>
      </c>
      <c r="B463" t="s">
        <v>17</v>
      </c>
      <c r="C463" t="s">
        <v>53</v>
      </c>
      <c r="D463">
        <v>0.33333333333333331</v>
      </c>
      <c r="E463">
        <v>0.66666666666666674</v>
      </c>
      <c r="F463">
        <v>318</v>
      </c>
      <c r="G463">
        <v>1892</v>
      </c>
      <c r="H463">
        <f t="shared" si="28"/>
        <v>-3.0386397745652673</v>
      </c>
      <c r="I463">
        <v>4.7899999999999998E-2</v>
      </c>
      <c r="J463" t="str">
        <f t="shared" si="29"/>
        <v>C[N+](C)(C)C.[Cl-]CC(C(=O)O)O</v>
      </c>
      <c r="K463">
        <v>69</v>
      </c>
      <c r="M463">
        <f t="shared" si="30"/>
        <v>0.43414056006046287</v>
      </c>
      <c r="N463">
        <f t="shared" si="31"/>
        <v>0.43680923881111966</v>
      </c>
    </row>
    <row r="464" spans="1:14" x14ac:dyDescent="0.35">
      <c r="A464">
        <v>462</v>
      </c>
      <c r="B464" t="s">
        <v>17</v>
      </c>
      <c r="C464" t="s">
        <v>53</v>
      </c>
      <c r="D464">
        <v>0.33333333333333331</v>
      </c>
      <c r="E464">
        <v>0.66666666666666674</v>
      </c>
      <c r="F464">
        <v>318</v>
      </c>
      <c r="G464">
        <v>1993</v>
      </c>
      <c r="H464">
        <f t="shared" si="28"/>
        <v>-2.99</v>
      </c>
      <c r="I464">
        <v>5.0287436723591865E-2</v>
      </c>
      <c r="J464" t="str">
        <f t="shared" si="29"/>
        <v>C[N+](C)(C)C.[Cl-]CC(C(=O)O)O</v>
      </c>
      <c r="K464">
        <v>69</v>
      </c>
      <c r="M464">
        <f t="shared" si="30"/>
        <v>0.43414056006046287</v>
      </c>
      <c r="N464">
        <f t="shared" si="31"/>
        <v>0.49329707337292567</v>
      </c>
    </row>
    <row r="465" spans="1:14" x14ac:dyDescent="0.35">
      <c r="A465">
        <v>463</v>
      </c>
      <c r="B465" t="s">
        <v>16</v>
      </c>
      <c r="C465" t="s">
        <v>70</v>
      </c>
      <c r="D465">
        <v>0.33333333333333331</v>
      </c>
      <c r="E465">
        <v>0.66666666666666674</v>
      </c>
      <c r="F465">
        <v>298.14999999999998</v>
      </c>
      <c r="G465">
        <v>198</v>
      </c>
      <c r="H465">
        <f t="shared" si="28"/>
        <v>-5.03</v>
      </c>
      <c r="I465">
        <v>6.5388105705490637E-3</v>
      </c>
      <c r="J465" t="str">
        <f t="shared" si="29"/>
        <v>CC[N+](C)(CC)CC.[Cl-]CC(=O)O</v>
      </c>
      <c r="K465">
        <v>50</v>
      </c>
      <c r="M465">
        <f t="shared" si="30"/>
        <v>-1.1215370428862177</v>
      </c>
      <c r="N465">
        <f t="shared" si="31"/>
        <v>-0.51062038245323049</v>
      </c>
    </row>
    <row r="466" spans="1:14" x14ac:dyDescent="0.35">
      <c r="A466">
        <v>464</v>
      </c>
      <c r="B466" t="s">
        <v>16</v>
      </c>
      <c r="C466" t="s">
        <v>70</v>
      </c>
      <c r="D466">
        <v>0.33333333333333331</v>
      </c>
      <c r="E466">
        <v>0.66666666666666674</v>
      </c>
      <c r="F466">
        <v>298.14999999999998</v>
      </c>
      <c r="G466">
        <v>413</v>
      </c>
      <c r="H466">
        <f t="shared" si="28"/>
        <v>-4.18</v>
      </c>
      <c r="I466">
        <v>1.5298507566725518E-2</v>
      </c>
      <c r="J466" t="str">
        <f t="shared" si="29"/>
        <v>CC[N+](C)(CC)CC.[Cl-]CC(=O)O</v>
      </c>
      <c r="K466">
        <v>50</v>
      </c>
      <c r="M466">
        <f t="shared" si="30"/>
        <v>-1.1215370428862177</v>
      </c>
      <c r="N466">
        <f t="shared" si="31"/>
        <v>-0.39037400195037614</v>
      </c>
    </row>
    <row r="467" spans="1:14" x14ac:dyDescent="0.35">
      <c r="A467">
        <v>465</v>
      </c>
      <c r="B467" t="s">
        <v>16</v>
      </c>
      <c r="C467" t="s">
        <v>70</v>
      </c>
      <c r="D467">
        <v>0.33333333333333331</v>
      </c>
      <c r="E467">
        <v>0.66666666666666674</v>
      </c>
      <c r="F467">
        <v>298.14999999999998</v>
      </c>
      <c r="G467">
        <v>806</v>
      </c>
      <c r="H467">
        <f t="shared" si="28"/>
        <v>-3.41</v>
      </c>
      <c r="I467">
        <v>3.3041200375886932E-2</v>
      </c>
      <c r="J467" t="str">
        <f t="shared" si="29"/>
        <v>CC[N+](C)(CC)CC.[Cl-]CC(=O)O</v>
      </c>
      <c r="K467">
        <v>50</v>
      </c>
      <c r="M467">
        <f t="shared" si="30"/>
        <v>-1.1215370428862177</v>
      </c>
      <c r="N467">
        <f t="shared" si="31"/>
        <v>-0.17057480410097259</v>
      </c>
    </row>
    <row r="468" spans="1:14" x14ac:dyDescent="0.35">
      <c r="A468">
        <v>466</v>
      </c>
      <c r="B468" t="s">
        <v>16</v>
      </c>
      <c r="C468" t="s">
        <v>70</v>
      </c>
      <c r="D468">
        <v>0.33333333333333331</v>
      </c>
      <c r="E468">
        <v>0.66666666666666674</v>
      </c>
      <c r="F468">
        <v>298.14999999999998</v>
      </c>
      <c r="G468">
        <v>1155</v>
      </c>
      <c r="H468">
        <f t="shared" si="28"/>
        <v>-3.05</v>
      </c>
      <c r="I468">
        <v>4.7358924391140929E-2</v>
      </c>
      <c r="J468" t="str">
        <f t="shared" si="29"/>
        <v>CC[N+](C)(CC)CC.[Cl-]CC(=O)O</v>
      </c>
      <c r="K468">
        <v>50</v>
      </c>
      <c r="M468">
        <f t="shared" si="30"/>
        <v>-1.1215370428862177</v>
      </c>
      <c r="N468">
        <f t="shared" si="31"/>
        <v>2.4615832157149142E-2</v>
      </c>
    </row>
    <row r="469" spans="1:14" x14ac:dyDescent="0.35">
      <c r="A469">
        <v>467</v>
      </c>
      <c r="B469" t="s">
        <v>16</v>
      </c>
      <c r="C469" t="s">
        <v>70</v>
      </c>
      <c r="D469">
        <v>0.33333333333333331</v>
      </c>
      <c r="E469">
        <v>0.66666666666666674</v>
      </c>
      <c r="F469">
        <v>298.14999999999998</v>
      </c>
      <c r="G469">
        <v>1410</v>
      </c>
      <c r="H469">
        <f t="shared" si="28"/>
        <v>-2.78</v>
      </c>
      <c r="I469">
        <v>6.2038507377358318E-2</v>
      </c>
      <c r="J469" t="str">
        <f t="shared" si="29"/>
        <v>CC[N+](C)(CC)CC.[Cl-]CC(=O)O</v>
      </c>
      <c r="K469">
        <v>50</v>
      </c>
      <c r="M469">
        <f t="shared" si="30"/>
        <v>-1.1215370428862177</v>
      </c>
      <c r="N469">
        <f t="shared" si="31"/>
        <v>0.16723363228844151</v>
      </c>
    </row>
    <row r="470" spans="1:14" x14ac:dyDescent="0.35">
      <c r="A470">
        <v>468</v>
      </c>
      <c r="B470" t="s">
        <v>16</v>
      </c>
      <c r="C470" t="s">
        <v>70</v>
      </c>
      <c r="D470">
        <v>0.33333333333333331</v>
      </c>
      <c r="E470">
        <v>0.66666666666666674</v>
      </c>
      <c r="F470">
        <v>298.14999999999998</v>
      </c>
      <c r="G470">
        <v>1624</v>
      </c>
      <c r="H470">
        <f t="shared" si="28"/>
        <v>-2.6</v>
      </c>
      <c r="I470">
        <v>7.4273578214333877E-2</v>
      </c>
      <c r="J470" t="str">
        <f t="shared" si="29"/>
        <v>CC[N+](C)(CC)CC.[Cl-]CC(=O)O</v>
      </c>
      <c r="K470">
        <v>50</v>
      </c>
      <c r="M470">
        <f t="shared" si="30"/>
        <v>-1.1215370428862177</v>
      </c>
      <c r="N470">
        <f t="shared" si="31"/>
        <v>0.28692072730058493</v>
      </c>
    </row>
    <row r="471" spans="1:14" x14ac:dyDescent="0.35">
      <c r="A471">
        <v>469</v>
      </c>
      <c r="B471" t="s">
        <v>16</v>
      </c>
      <c r="C471" t="s">
        <v>70</v>
      </c>
      <c r="D471">
        <v>0.33333333333333331</v>
      </c>
      <c r="E471">
        <v>0.66666666666666674</v>
      </c>
      <c r="F471">
        <v>298.14999999999998</v>
      </c>
      <c r="G471">
        <v>1837</v>
      </c>
      <c r="H471">
        <f t="shared" si="28"/>
        <v>-2.44</v>
      </c>
      <c r="I471">
        <v>8.7160851461981298E-2</v>
      </c>
      <c r="J471" t="str">
        <f t="shared" si="29"/>
        <v>CC[N+](C)(CC)CC.[Cl-]CC(=O)O</v>
      </c>
      <c r="K471">
        <v>50</v>
      </c>
      <c r="M471">
        <f t="shared" si="30"/>
        <v>-1.1215370428862177</v>
      </c>
      <c r="N471">
        <f t="shared" si="31"/>
        <v>0.40604853682201741</v>
      </c>
    </row>
    <row r="472" spans="1:14" x14ac:dyDescent="0.35">
      <c r="A472">
        <v>470</v>
      </c>
      <c r="B472" t="s">
        <v>16</v>
      </c>
      <c r="C472" t="s">
        <v>72</v>
      </c>
      <c r="D472">
        <v>0.33333333333333331</v>
      </c>
      <c r="E472">
        <v>0.66666666666666674</v>
      </c>
      <c r="F472">
        <v>298.14999999999998</v>
      </c>
      <c r="G472">
        <v>138</v>
      </c>
      <c r="H472">
        <f t="shared" si="28"/>
        <v>-5.28</v>
      </c>
      <c r="I472">
        <v>5.0924307926991904E-3</v>
      </c>
      <c r="J472" t="str">
        <f t="shared" si="29"/>
        <v>CC[N+](C)(CC)CC.[Cl-]C(CO)O</v>
      </c>
      <c r="K472">
        <v>48</v>
      </c>
      <c r="M472">
        <f t="shared" si="30"/>
        <v>-1.1215370428862177</v>
      </c>
      <c r="N472">
        <f t="shared" si="31"/>
        <v>-0.54417751189588759</v>
      </c>
    </row>
    <row r="473" spans="1:14" x14ac:dyDescent="0.35">
      <c r="A473">
        <v>471</v>
      </c>
      <c r="B473" t="s">
        <v>16</v>
      </c>
      <c r="C473" t="s">
        <v>72</v>
      </c>
      <c r="D473">
        <v>0.33333333333333331</v>
      </c>
      <c r="E473">
        <v>0.66666666666666674</v>
      </c>
      <c r="F473">
        <v>298.14999999999998</v>
      </c>
      <c r="G473">
        <v>314</v>
      </c>
      <c r="H473">
        <f t="shared" si="28"/>
        <v>-4.12</v>
      </c>
      <c r="I473">
        <v>1.6244514441949871E-2</v>
      </c>
      <c r="J473" t="str">
        <f t="shared" si="29"/>
        <v>CC[N+](C)(CC)CC.[Cl-]C(CO)O</v>
      </c>
      <c r="K473">
        <v>48</v>
      </c>
      <c r="M473">
        <f t="shared" si="30"/>
        <v>-1.1215370428862177</v>
      </c>
      <c r="N473">
        <f t="shared" si="31"/>
        <v>-0.44574326553076027</v>
      </c>
    </row>
    <row r="474" spans="1:14" x14ac:dyDescent="0.35">
      <c r="A474">
        <v>472</v>
      </c>
      <c r="B474" t="s">
        <v>16</v>
      </c>
      <c r="C474" t="s">
        <v>72</v>
      </c>
      <c r="D474">
        <v>0.33333333333333331</v>
      </c>
      <c r="E474">
        <v>0.66666666666666674</v>
      </c>
      <c r="F474">
        <v>298.14999999999998</v>
      </c>
      <c r="G474">
        <v>543</v>
      </c>
      <c r="H474">
        <f t="shared" si="28"/>
        <v>-3.49</v>
      </c>
      <c r="I474">
        <v>3.0500872171217483E-2</v>
      </c>
      <c r="J474" t="str">
        <f t="shared" si="29"/>
        <v>CC[N+](C)(CC)CC.[Cl-]C(CO)O</v>
      </c>
      <c r="K474">
        <v>48</v>
      </c>
      <c r="M474">
        <f t="shared" si="30"/>
        <v>-1.1215370428862177</v>
      </c>
      <c r="N474">
        <f t="shared" si="31"/>
        <v>-0.31766688815795258</v>
      </c>
    </row>
    <row r="475" spans="1:14" x14ac:dyDescent="0.35">
      <c r="A475">
        <v>473</v>
      </c>
      <c r="B475" t="s">
        <v>16</v>
      </c>
      <c r="C475" t="s">
        <v>72</v>
      </c>
      <c r="D475">
        <v>0.33333333333333331</v>
      </c>
      <c r="E475">
        <v>0.66666666666666674</v>
      </c>
      <c r="F475">
        <v>298.14999999999998</v>
      </c>
      <c r="G475">
        <v>802</v>
      </c>
      <c r="H475">
        <f t="shared" si="28"/>
        <v>-3.28</v>
      </c>
      <c r="I475">
        <v>3.7628256807176221E-2</v>
      </c>
      <c r="J475" t="str">
        <f t="shared" si="29"/>
        <v>CC[N+](C)(CC)CC.[Cl-]C(CO)O</v>
      </c>
      <c r="K475">
        <v>48</v>
      </c>
      <c r="M475">
        <f t="shared" si="30"/>
        <v>-1.1215370428862177</v>
      </c>
      <c r="N475">
        <f t="shared" si="31"/>
        <v>-0.17281194606381639</v>
      </c>
    </row>
    <row r="476" spans="1:14" x14ac:dyDescent="0.35">
      <c r="A476">
        <v>474</v>
      </c>
      <c r="B476" t="s">
        <v>16</v>
      </c>
      <c r="C476" t="s">
        <v>72</v>
      </c>
      <c r="D476">
        <v>0.33333333333333331</v>
      </c>
      <c r="E476">
        <v>0.66666666666666674</v>
      </c>
      <c r="F476">
        <v>298.14999999999998</v>
      </c>
      <c r="G476">
        <v>1041</v>
      </c>
      <c r="H476">
        <f t="shared" si="28"/>
        <v>-3.09</v>
      </c>
      <c r="I476">
        <v>4.550195440462157E-2</v>
      </c>
      <c r="J476" t="str">
        <f t="shared" si="29"/>
        <v>CC[N+](C)(CC)CC.[Cl-]C(CO)O</v>
      </c>
      <c r="K476">
        <v>48</v>
      </c>
      <c r="M476">
        <f t="shared" si="30"/>
        <v>-1.1215370428862177</v>
      </c>
      <c r="N476">
        <f t="shared" si="31"/>
        <v>-3.9142713783899219E-2</v>
      </c>
    </row>
    <row r="477" spans="1:14" x14ac:dyDescent="0.35">
      <c r="A477">
        <v>475</v>
      </c>
      <c r="B477" t="s">
        <v>16</v>
      </c>
      <c r="C477" t="s">
        <v>72</v>
      </c>
      <c r="D477">
        <v>0.33333333333333331</v>
      </c>
      <c r="E477">
        <v>0.66666666666666674</v>
      </c>
      <c r="F477">
        <v>298.14999999999998</v>
      </c>
      <c r="G477">
        <v>1345</v>
      </c>
      <c r="H477">
        <f t="shared" si="28"/>
        <v>-3.01</v>
      </c>
      <c r="I477">
        <v>4.9291678760462171E-2</v>
      </c>
      <c r="J477" t="str">
        <f t="shared" si="29"/>
        <v>CC[N+](C)(CC)CC.[Cl-]C(CO)O</v>
      </c>
      <c r="K477">
        <v>48</v>
      </c>
      <c r="M477">
        <f t="shared" si="30"/>
        <v>-1.1215370428862177</v>
      </c>
      <c r="N477">
        <f t="shared" si="31"/>
        <v>0.13088007539222973</v>
      </c>
    </row>
    <row r="478" spans="1:14" x14ac:dyDescent="0.35">
      <c r="A478">
        <v>476</v>
      </c>
      <c r="B478" t="s">
        <v>16</v>
      </c>
      <c r="C478" t="s">
        <v>73</v>
      </c>
      <c r="D478">
        <v>0.33333333333333331</v>
      </c>
      <c r="E478">
        <v>0.66666666666666674</v>
      </c>
      <c r="F478">
        <v>298.14999999999998</v>
      </c>
      <c r="G478">
        <v>150</v>
      </c>
      <c r="H478">
        <f t="shared" si="28"/>
        <v>-6.35</v>
      </c>
      <c r="I478">
        <v>1.7467471362611197E-3</v>
      </c>
      <c r="J478" t="str">
        <f t="shared" si="29"/>
        <v>CC[N+](C)(CC)CC.[Cl-]C(C(CO)O)O</v>
      </c>
      <c r="K478">
        <v>47</v>
      </c>
      <c r="M478">
        <f t="shared" si="30"/>
        <v>-1.1215370428862177</v>
      </c>
      <c r="N478">
        <f t="shared" si="31"/>
        <v>-0.53746608600735613</v>
      </c>
    </row>
    <row r="479" spans="1:14" x14ac:dyDescent="0.35">
      <c r="A479">
        <v>477</v>
      </c>
      <c r="B479" t="s">
        <v>16</v>
      </c>
      <c r="C479" t="s">
        <v>73</v>
      </c>
      <c r="D479">
        <v>0.33333333333333331</v>
      </c>
      <c r="E479">
        <v>0.66666666666666674</v>
      </c>
      <c r="F479">
        <v>298.14999999999998</v>
      </c>
      <c r="G479">
        <v>420</v>
      </c>
      <c r="H479">
        <f t="shared" si="28"/>
        <v>-5.1100000000000003</v>
      </c>
      <c r="I479">
        <v>6.0360829235995648E-3</v>
      </c>
      <c r="J479" t="str">
        <f t="shared" si="29"/>
        <v>CC[N+](C)(CC)CC.[Cl-]C(C(CO)O)O</v>
      </c>
      <c r="K479">
        <v>47</v>
      </c>
      <c r="M479">
        <f t="shared" si="30"/>
        <v>-1.1215370428862177</v>
      </c>
      <c r="N479">
        <f t="shared" si="31"/>
        <v>-0.38645900351539947</v>
      </c>
    </row>
    <row r="480" spans="1:14" x14ac:dyDescent="0.35">
      <c r="A480">
        <v>478</v>
      </c>
      <c r="B480" t="s">
        <v>16</v>
      </c>
      <c r="C480" t="s">
        <v>73</v>
      </c>
      <c r="D480">
        <v>0.33333333333333331</v>
      </c>
      <c r="E480">
        <v>0.66666666666666674</v>
      </c>
      <c r="F480">
        <v>298.14999999999998</v>
      </c>
      <c r="G480">
        <v>833</v>
      </c>
      <c r="H480">
        <f t="shared" si="28"/>
        <v>-4.3600000000000003</v>
      </c>
      <c r="I480">
        <v>1.2778387649535761E-2</v>
      </c>
      <c r="J480" t="str">
        <f t="shared" si="29"/>
        <v>CC[N+](C)(CC)CC.[Cl-]C(C(CO)O)O</v>
      </c>
      <c r="K480">
        <v>47</v>
      </c>
      <c r="M480">
        <f t="shared" si="30"/>
        <v>-1.1215370428862177</v>
      </c>
      <c r="N480">
        <f t="shared" si="31"/>
        <v>-0.15547409585177693</v>
      </c>
    </row>
    <row r="481" spans="1:14" x14ac:dyDescent="0.35">
      <c r="A481">
        <v>479</v>
      </c>
      <c r="B481" t="s">
        <v>16</v>
      </c>
      <c r="C481" t="s">
        <v>73</v>
      </c>
      <c r="D481">
        <v>0.33333333333333331</v>
      </c>
      <c r="E481">
        <v>0.66666666666666674</v>
      </c>
      <c r="F481">
        <v>298.14999999999998</v>
      </c>
      <c r="G481">
        <v>1238</v>
      </c>
      <c r="H481">
        <f t="shared" si="28"/>
        <v>-3.64</v>
      </c>
      <c r="I481">
        <v>2.6252343965687961E-2</v>
      </c>
      <c r="J481" t="str">
        <f t="shared" si="29"/>
        <v>CC[N+](C)(CC)CC.[Cl-]C(C(CO)O)O</v>
      </c>
      <c r="K481">
        <v>47</v>
      </c>
      <c r="M481">
        <f t="shared" si="30"/>
        <v>-1.1215370428862177</v>
      </c>
      <c r="N481">
        <f t="shared" si="31"/>
        <v>7.1036527886158038E-2</v>
      </c>
    </row>
    <row r="482" spans="1:14" x14ac:dyDescent="0.35">
      <c r="A482">
        <v>480</v>
      </c>
      <c r="B482" t="s">
        <v>16</v>
      </c>
      <c r="C482" t="s">
        <v>73</v>
      </c>
      <c r="D482">
        <v>0.33333333333333331</v>
      </c>
      <c r="E482">
        <v>0.66666666666666674</v>
      </c>
      <c r="F482">
        <v>298.14999999999998</v>
      </c>
      <c r="G482">
        <v>1648</v>
      </c>
      <c r="H482">
        <f t="shared" si="28"/>
        <v>-3.16</v>
      </c>
      <c r="I482">
        <v>4.2425741080511385E-2</v>
      </c>
      <c r="J482" t="str">
        <f t="shared" si="29"/>
        <v>CC[N+](C)(CC)CC.[Cl-]C(C(CO)O)O</v>
      </c>
      <c r="K482">
        <v>47</v>
      </c>
      <c r="M482">
        <f t="shared" si="30"/>
        <v>-1.1215370428862177</v>
      </c>
      <c r="N482">
        <f t="shared" si="31"/>
        <v>0.30034357907764775</v>
      </c>
    </row>
    <row r="483" spans="1:14" x14ac:dyDescent="0.35">
      <c r="A483">
        <v>481</v>
      </c>
      <c r="B483" t="s">
        <v>16</v>
      </c>
      <c r="C483" t="s">
        <v>71</v>
      </c>
      <c r="D483">
        <v>0.33333333333333331</v>
      </c>
      <c r="E483">
        <v>0.66666666666666674</v>
      </c>
      <c r="F483">
        <v>298.14999999999998</v>
      </c>
      <c r="G483">
        <v>143</v>
      </c>
      <c r="H483">
        <f t="shared" si="28"/>
        <v>-5.35</v>
      </c>
      <c r="I483">
        <v>4.7481509994114776E-3</v>
      </c>
      <c r="J483" t="str">
        <f t="shared" si="29"/>
        <v>CC[N+](C)(CC)CC.[Cl-]CC(C(=O)O)O</v>
      </c>
      <c r="K483">
        <v>51</v>
      </c>
      <c r="M483">
        <f t="shared" si="30"/>
        <v>-1.1215370428862177</v>
      </c>
      <c r="N483">
        <f t="shared" si="31"/>
        <v>-0.54138108444233279</v>
      </c>
    </row>
    <row r="484" spans="1:14" x14ac:dyDescent="0.35">
      <c r="A484">
        <v>482</v>
      </c>
      <c r="B484" t="s">
        <v>16</v>
      </c>
      <c r="C484" t="s">
        <v>71</v>
      </c>
      <c r="D484">
        <v>0.33333333333333331</v>
      </c>
      <c r="E484">
        <v>0.66666666666666674</v>
      </c>
      <c r="F484">
        <v>298.14999999999998</v>
      </c>
      <c r="G484">
        <v>418</v>
      </c>
      <c r="H484">
        <f t="shared" si="28"/>
        <v>-4.5199999999999996</v>
      </c>
      <c r="I484">
        <v>1.0889023668554451E-2</v>
      </c>
      <c r="J484" t="str">
        <f t="shared" si="29"/>
        <v>CC[N+](C)(CC)CC.[Cl-]CC(C(=O)O)O</v>
      </c>
      <c r="K484">
        <v>51</v>
      </c>
      <c r="M484">
        <f t="shared" si="30"/>
        <v>-1.1215370428862177</v>
      </c>
      <c r="N484">
        <f t="shared" si="31"/>
        <v>-0.3875775744968214</v>
      </c>
    </row>
    <row r="485" spans="1:14" x14ac:dyDescent="0.35">
      <c r="A485">
        <v>483</v>
      </c>
      <c r="B485" t="s">
        <v>16</v>
      </c>
      <c r="C485" t="s">
        <v>71</v>
      </c>
      <c r="D485">
        <v>0.33333333333333331</v>
      </c>
      <c r="E485">
        <v>0.66666666666666674</v>
      </c>
      <c r="F485">
        <v>298.14999999999998</v>
      </c>
      <c r="G485">
        <v>938</v>
      </c>
      <c r="H485">
        <f t="shared" si="28"/>
        <v>-3.64</v>
      </c>
      <c r="I485">
        <v>2.6252343965687961E-2</v>
      </c>
      <c r="J485" t="str">
        <f t="shared" si="29"/>
        <v>CC[N+](C)(CC)CC.[Cl-]CC(C(=O)O)O</v>
      </c>
      <c r="K485">
        <v>51</v>
      </c>
      <c r="M485">
        <f t="shared" si="30"/>
        <v>-1.1215370428862177</v>
      </c>
      <c r="N485">
        <f t="shared" si="31"/>
        <v>-9.6749119327127125E-2</v>
      </c>
    </row>
    <row r="486" spans="1:14" x14ac:dyDescent="0.35">
      <c r="A486">
        <v>484</v>
      </c>
      <c r="B486" t="s">
        <v>16</v>
      </c>
      <c r="C486" t="s">
        <v>71</v>
      </c>
      <c r="D486">
        <v>0.33333333333333331</v>
      </c>
      <c r="E486">
        <v>0.66666666666666674</v>
      </c>
      <c r="F486">
        <v>298.14999999999998</v>
      </c>
      <c r="G486">
        <v>1265</v>
      </c>
      <c r="H486">
        <f t="shared" si="28"/>
        <v>-3.32</v>
      </c>
      <c r="I486">
        <v>3.6152831754046426E-2</v>
      </c>
      <c r="J486" t="str">
        <f t="shared" si="29"/>
        <v>CC[N+](C)(CC)CC.[Cl-]CC(C(=O)O)O</v>
      </c>
      <c r="K486">
        <v>51</v>
      </c>
      <c r="M486">
        <f t="shared" si="30"/>
        <v>-1.1215370428862177</v>
      </c>
      <c r="N486">
        <f t="shared" si="31"/>
        <v>8.6137236135353693E-2</v>
      </c>
    </row>
    <row r="487" spans="1:14" x14ac:dyDescent="0.35">
      <c r="A487">
        <v>485</v>
      </c>
      <c r="B487" t="s">
        <v>16</v>
      </c>
      <c r="C487" t="s">
        <v>71</v>
      </c>
      <c r="D487">
        <v>0.33333333333333331</v>
      </c>
      <c r="E487">
        <v>0.66666666666666674</v>
      </c>
      <c r="F487">
        <v>298.14999999999998</v>
      </c>
      <c r="G487">
        <v>1500</v>
      </c>
      <c r="H487">
        <f t="shared" si="28"/>
        <v>-3.13</v>
      </c>
      <c r="I487">
        <v>4.3717797252750941E-2</v>
      </c>
      <c r="J487" t="str">
        <f t="shared" si="29"/>
        <v>CC[N+](C)(CC)CC.[Cl-]CC(C(=O)O)O</v>
      </c>
      <c r="K487">
        <v>51</v>
      </c>
      <c r="M487">
        <f t="shared" si="30"/>
        <v>-1.1215370428862177</v>
      </c>
      <c r="N487">
        <f t="shared" si="31"/>
        <v>0.21756932645242708</v>
      </c>
    </row>
    <row r="488" spans="1:14" x14ac:dyDescent="0.35">
      <c r="A488">
        <v>486</v>
      </c>
      <c r="B488" t="s">
        <v>16</v>
      </c>
      <c r="C488" t="s">
        <v>71</v>
      </c>
      <c r="D488">
        <v>0.33333333333333331</v>
      </c>
      <c r="E488">
        <v>0.66666666666666674</v>
      </c>
      <c r="F488">
        <v>298.14999999999998</v>
      </c>
      <c r="G488">
        <v>1863</v>
      </c>
      <c r="H488">
        <f t="shared" si="28"/>
        <v>-2.97</v>
      </c>
      <c r="I488">
        <v>5.1303310331919108E-2</v>
      </c>
      <c r="J488" t="str">
        <f t="shared" si="29"/>
        <v>CC[N+](C)(CC)CC.[Cl-]CC(C(=O)O)O</v>
      </c>
      <c r="K488">
        <v>51</v>
      </c>
      <c r="M488">
        <f t="shared" si="30"/>
        <v>-1.1215370428862177</v>
      </c>
      <c r="N488">
        <f t="shared" si="31"/>
        <v>0.4205899595805021</v>
      </c>
    </row>
    <row r="489" spans="1:14" x14ac:dyDescent="0.35">
      <c r="A489">
        <v>487</v>
      </c>
      <c r="B489" t="s">
        <v>16</v>
      </c>
      <c r="C489" t="s">
        <v>74</v>
      </c>
      <c r="D489">
        <v>0.33333333333333331</v>
      </c>
      <c r="E489">
        <v>0.66666666666666674</v>
      </c>
      <c r="F489">
        <v>298.14999999999998</v>
      </c>
      <c r="G489">
        <v>136</v>
      </c>
      <c r="H489">
        <f t="shared" si="28"/>
        <v>-5</v>
      </c>
      <c r="I489">
        <v>6.737946999085467E-3</v>
      </c>
      <c r="J489" t="str">
        <f t="shared" si="29"/>
        <v>CC[N+](C)(CC)CC.[Cl-]CC(=O)CCC(=O)O</v>
      </c>
      <c r="K489">
        <v>49</v>
      </c>
      <c r="M489">
        <f t="shared" si="30"/>
        <v>-1.1215370428862177</v>
      </c>
      <c r="N489">
        <f t="shared" si="31"/>
        <v>-0.54529608287730946</v>
      </c>
    </row>
    <row r="490" spans="1:14" x14ac:dyDescent="0.35">
      <c r="A490">
        <v>488</v>
      </c>
      <c r="B490" t="s">
        <v>16</v>
      </c>
      <c r="C490" t="s">
        <v>74</v>
      </c>
      <c r="D490">
        <v>0.33333333333333331</v>
      </c>
      <c r="E490">
        <v>0.66666666666666674</v>
      </c>
      <c r="F490">
        <v>298.14999999999998</v>
      </c>
      <c r="G490">
        <v>409</v>
      </c>
      <c r="H490">
        <f t="shared" si="28"/>
        <v>-3.97</v>
      </c>
      <c r="I490">
        <v>1.8873433135151486E-2</v>
      </c>
      <c r="J490" t="str">
        <f t="shared" si="29"/>
        <v>CC[N+](C)(CC)CC.[Cl-]CC(=O)CCC(=O)O</v>
      </c>
      <c r="K490">
        <v>49</v>
      </c>
      <c r="M490">
        <f t="shared" si="30"/>
        <v>-1.1215370428862177</v>
      </c>
      <c r="N490">
        <f t="shared" si="31"/>
        <v>-0.39261114391321994</v>
      </c>
    </row>
    <row r="491" spans="1:14" x14ac:dyDescent="0.35">
      <c r="A491">
        <v>489</v>
      </c>
      <c r="B491" t="s">
        <v>16</v>
      </c>
      <c r="C491" t="s">
        <v>74</v>
      </c>
      <c r="D491">
        <v>0.33333333333333331</v>
      </c>
      <c r="E491">
        <v>0.66666666666666674</v>
      </c>
      <c r="F491">
        <v>298.14999999999998</v>
      </c>
      <c r="G491">
        <v>735</v>
      </c>
      <c r="H491">
        <f t="shared" si="28"/>
        <v>-3.34</v>
      </c>
      <c r="I491">
        <v>3.543695772159864E-2</v>
      </c>
      <c r="J491" t="str">
        <f t="shared" si="29"/>
        <v>CC[N+](C)(CC)CC.[Cl-]CC(=O)CCC(=O)O</v>
      </c>
      <c r="K491">
        <v>49</v>
      </c>
      <c r="M491">
        <f t="shared" si="30"/>
        <v>-1.1215370428862177</v>
      </c>
      <c r="N491">
        <f t="shared" si="31"/>
        <v>-0.21028407394145007</v>
      </c>
    </row>
    <row r="492" spans="1:14" x14ac:dyDescent="0.35">
      <c r="A492">
        <v>490</v>
      </c>
      <c r="B492" t="s">
        <v>16</v>
      </c>
      <c r="C492" t="s">
        <v>74</v>
      </c>
      <c r="D492">
        <v>0.33333333333333331</v>
      </c>
      <c r="E492">
        <v>0.66666666666666674</v>
      </c>
      <c r="F492">
        <v>298.14999999999998</v>
      </c>
      <c r="G492">
        <v>1043</v>
      </c>
      <c r="H492">
        <f t="shared" si="28"/>
        <v>-3.01</v>
      </c>
      <c r="I492">
        <v>4.9291678760462171E-2</v>
      </c>
      <c r="J492" t="str">
        <f t="shared" si="29"/>
        <v>CC[N+](C)(CC)CC.[Cl-]CC(=O)CCC(=O)O</v>
      </c>
      <c r="K492">
        <v>49</v>
      </c>
      <c r="M492">
        <f t="shared" si="30"/>
        <v>-1.1215370428862177</v>
      </c>
      <c r="N492">
        <f t="shared" si="31"/>
        <v>-3.8024142802477318E-2</v>
      </c>
    </row>
    <row r="493" spans="1:14" x14ac:dyDescent="0.35">
      <c r="A493">
        <v>491</v>
      </c>
      <c r="B493" t="s">
        <v>16</v>
      </c>
      <c r="C493" t="s">
        <v>74</v>
      </c>
      <c r="D493">
        <v>0.33333333333333331</v>
      </c>
      <c r="E493">
        <v>0.66666666666666674</v>
      </c>
      <c r="F493">
        <v>298.14999999999998</v>
      </c>
      <c r="G493">
        <v>1617</v>
      </c>
      <c r="H493">
        <f t="shared" si="28"/>
        <v>-2.69</v>
      </c>
      <c r="I493">
        <v>6.7880939371761442E-2</v>
      </c>
      <c r="J493" t="str">
        <f t="shared" si="29"/>
        <v>CC[N+](C)(CC)CC.[Cl-]CC(=O)CCC(=O)O</v>
      </c>
      <c r="K493">
        <v>49</v>
      </c>
      <c r="M493">
        <f t="shared" si="30"/>
        <v>-1.1215370428862177</v>
      </c>
      <c r="N493">
        <f t="shared" si="31"/>
        <v>0.28300572886560826</v>
      </c>
    </row>
    <row r="494" spans="1:14" x14ac:dyDescent="0.35">
      <c r="A494">
        <v>492</v>
      </c>
      <c r="B494" t="s">
        <v>9</v>
      </c>
      <c r="C494" t="s">
        <v>46</v>
      </c>
      <c r="D494">
        <v>0.33333333333333331</v>
      </c>
      <c r="E494">
        <v>0.66666666666666674</v>
      </c>
      <c r="F494">
        <v>298.14999999999998</v>
      </c>
      <c r="G494">
        <v>226</v>
      </c>
      <c r="H494">
        <f t="shared" si="28"/>
        <v>-3.83</v>
      </c>
      <c r="I494">
        <v>2.1709615629848571E-2</v>
      </c>
      <c r="J494" t="str">
        <f t="shared" si="29"/>
        <v>C(=N)(N)N.ClC(CO)N</v>
      </c>
      <c r="K494">
        <v>0</v>
      </c>
      <c r="M494">
        <f t="shared" si="30"/>
        <v>-1.1215370428862177</v>
      </c>
      <c r="N494">
        <f t="shared" si="31"/>
        <v>-0.49496038871332387</v>
      </c>
    </row>
    <row r="495" spans="1:14" x14ac:dyDescent="0.35">
      <c r="A495">
        <v>493</v>
      </c>
      <c r="B495" t="s">
        <v>9</v>
      </c>
      <c r="C495" t="s">
        <v>46</v>
      </c>
      <c r="D495">
        <v>0.33333333333333331</v>
      </c>
      <c r="E495">
        <v>0.66666666666666674</v>
      </c>
      <c r="F495">
        <v>298.14999999999998</v>
      </c>
      <c r="G495">
        <v>563</v>
      </c>
      <c r="H495">
        <f t="shared" si="28"/>
        <v>-2.87</v>
      </c>
      <c r="I495">
        <v>5.6698926579846903E-2</v>
      </c>
      <c r="J495" t="str">
        <f t="shared" si="29"/>
        <v>C(=N)(N)N.ClC(CO)N</v>
      </c>
      <c r="K495">
        <v>0</v>
      </c>
      <c r="M495">
        <f t="shared" si="30"/>
        <v>-1.1215370428862177</v>
      </c>
      <c r="N495">
        <f t="shared" si="31"/>
        <v>-0.30648117834373356</v>
      </c>
    </row>
    <row r="496" spans="1:14" x14ac:dyDescent="0.35">
      <c r="A496">
        <v>494</v>
      </c>
      <c r="B496" t="s">
        <v>9</v>
      </c>
      <c r="C496" t="s">
        <v>46</v>
      </c>
      <c r="D496">
        <v>0.33333333333333331</v>
      </c>
      <c r="E496">
        <v>0.66666666666666674</v>
      </c>
      <c r="F496">
        <v>298.14999999999998</v>
      </c>
      <c r="G496">
        <v>836</v>
      </c>
      <c r="H496">
        <f t="shared" si="28"/>
        <v>-2.54</v>
      </c>
      <c r="I496">
        <v>7.8866399790674946E-2</v>
      </c>
      <c r="J496" t="str">
        <f t="shared" si="29"/>
        <v>C(=N)(N)N.ClC(CO)N</v>
      </c>
      <c r="K496">
        <v>0</v>
      </c>
      <c r="M496">
        <f t="shared" si="30"/>
        <v>-1.1215370428862177</v>
      </c>
      <c r="N496">
        <f t="shared" si="31"/>
        <v>-0.15379623937964407</v>
      </c>
    </row>
    <row r="497" spans="1:14" x14ac:dyDescent="0.35">
      <c r="A497">
        <v>495</v>
      </c>
      <c r="B497" t="s">
        <v>9</v>
      </c>
      <c r="C497" t="s">
        <v>46</v>
      </c>
      <c r="D497">
        <v>0.33333333333333331</v>
      </c>
      <c r="E497">
        <v>0.66666666666666674</v>
      </c>
      <c r="F497">
        <v>298.14999999999998</v>
      </c>
      <c r="G497">
        <v>1129</v>
      </c>
      <c r="H497">
        <f t="shared" si="28"/>
        <v>-2.41</v>
      </c>
      <c r="I497">
        <v>8.9815294572247628E-2</v>
      </c>
      <c r="J497" t="str">
        <f t="shared" si="29"/>
        <v>C(=N)(N)N.ClC(CO)N</v>
      </c>
      <c r="K497">
        <v>0</v>
      </c>
      <c r="M497">
        <f t="shared" si="30"/>
        <v>-1.1215370428862177</v>
      </c>
      <c r="N497">
        <f t="shared" si="31"/>
        <v>1.0074409398664427E-2</v>
      </c>
    </row>
    <row r="498" spans="1:14" x14ac:dyDescent="0.35">
      <c r="A498">
        <v>496</v>
      </c>
      <c r="B498" t="s">
        <v>9</v>
      </c>
      <c r="C498" t="s">
        <v>46</v>
      </c>
      <c r="D498">
        <v>0.33333333333333331</v>
      </c>
      <c r="E498">
        <v>0.66666666666666674</v>
      </c>
      <c r="F498">
        <v>298.14999999999998</v>
      </c>
      <c r="G498">
        <v>1480</v>
      </c>
      <c r="H498">
        <f t="shared" si="28"/>
        <v>-2.36</v>
      </c>
      <c r="I498">
        <v>9.4420223196302347E-2</v>
      </c>
      <c r="J498" t="str">
        <f t="shared" si="29"/>
        <v>C(=N)(N)N.ClC(CO)N</v>
      </c>
      <c r="K498">
        <v>0</v>
      </c>
      <c r="M498">
        <f t="shared" si="30"/>
        <v>-1.1215370428862177</v>
      </c>
      <c r="N498">
        <f t="shared" si="31"/>
        <v>0.20638361663820806</v>
      </c>
    </row>
    <row r="499" spans="1:14" x14ac:dyDescent="0.35">
      <c r="A499">
        <v>497</v>
      </c>
      <c r="B499" t="s">
        <v>9</v>
      </c>
      <c r="C499" t="s">
        <v>46</v>
      </c>
      <c r="D499">
        <v>0.33333333333333331</v>
      </c>
      <c r="E499">
        <v>0.66666666666666674</v>
      </c>
      <c r="F499">
        <v>298.14999999999998</v>
      </c>
      <c r="G499">
        <v>1787</v>
      </c>
      <c r="H499">
        <f t="shared" si="28"/>
        <v>-2.2999999999999998</v>
      </c>
      <c r="I499">
        <v>0.10025884372280375</v>
      </c>
      <c r="J499" t="str">
        <f t="shared" si="29"/>
        <v>C(=N)(N)N.ClC(CO)N</v>
      </c>
      <c r="K499">
        <v>0</v>
      </c>
      <c r="M499">
        <f t="shared" si="30"/>
        <v>-1.1215370428862177</v>
      </c>
      <c r="N499">
        <f t="shared" si="31"/>
        <v>0.37808426228646985</v>
      </c>
    </row>
    <row r="500" spans="1:14" x14ac:dyDescent="0.35">
      <c r="A500">
        <v>498</v>
      </c>
      <c r="B500" t="s">
        <v>9</v>
      </c>
      <c r="C500" t="s">
        <v>46</v>
      </c>
      <c r="D500">
        <v>0.33333333333333331</v>
      </c>
      <c r="E500">
        <v>0.66666666666666674</v>
      </c>
      <c r="F500">
        <v>298.14999999999998</v>
      </c>
      <c r="G500">
        <v>2025</v>
      </c>
      <c r="H500">
        <f t="shared" si="28"/>
        <v>-2.23</v>
      </c>
      <c r="I500">
        <v>0.10752843013579495</v>
      </c>
      <c r="J500" t="str">
        <f t="shared" si="29"/>
        <v>C(=N)(N)N.ClC(CO)N</v>
      </c>
      <c r="K500">
        <v>0</v>
      </c>
      <c r="M500">
        <f t="shared" si="30"/>
        <v>-1.1215370428862177</v>
      </c>
      <c r="N500">
        <f t="shared" si="31"/>
        <v>0.51119420907567614</v>
      </c>
    </row>
    <row r="501" spans="1:14" x14ac:dyDescent="0.35">
      <c r="A501">
        <v>499</v>
      </c>
      <c r="B501" t="s">
        <v>7</v>
      </c>
      <c r="C501" t="s">
        <v>46</v>
      </c>
      <c r="D501">
        <v>0.33333333333333331</v>
      </c>
      <c r="E501">
        <v>0.66666666666666674</v>
      </c>
      <c r="F501">
        <v>308.2</v>
      </c>
      <c r="G501">
        <v>651</v>
      </c>
      <c r="H501">
        <f t="shared" si="28"/>
        <v>-3</v>
      </c>
      <c r="I501">
        <v>4.9787068367863944E-2</v>
      </c>
      <c r="J501" t="str">
        <f t="shared" si="29"/>
        <v>C[N+](C)(C)CCO.[Cl-]C(CO)N</v>
      </c>
      <c r="K501">
        <v>79</v>
      </c>
      <c r="M501">
        <f t="shared" si="30"/>
        <v>-0.3339017829560344</v>
      </c>
      <c r="N501">
        <f t="shared" si="31"/>
        <v>-0.2572640551611699</v>
      </c>
    </row>
    <row r="502" spans="1:14" x14ac:dyDescent="0.35">
      <c r="A502">
        <v>500</v>
      </c>
      <c r="B502" t="s">
        <v>7</v>
      </c>
      <c r="C502" t="s">
        <v>46</v>
      </c>
      <c r="D502">
        <v>0.33333333333333331</v>
      </c>
      <c r="E502">
        <v>0.66666666666666674</v>
      </c>
      <c r="F502">
        <v>308.2</v>
      </c>
      <c r="G502">
        <v>1527</v>
      </c>
      <c r="H502">
        <f t="shared" si="28"/>
        <v>-2.35</v>
      </c>
      <c r="I502">
        <v>9.5369162215549613E-2</v>
      </c>
      <c r="J502" t="str">
        <f t="shared" si="29"/>
        <v>C[N+](C)(C)CCO.[Cl-]C(CO)N</v>
      </c>
      <c r="K502">
        <v>79</v>
      </c>
      <c r="M502">
        <f t="shared" si="30"/>
        <v>-0.3339017829560344</v>
      </c>
      <c r="N502">
        <f t="shared" si="31"/>
        <v>0.23267003470162273</v>
      </c>
    </row>
    <row r="503" spans="1:14" x14ac:dyDescent="0.35">
      <c r="A503">
        <v>501</v>
      </c>
      <c r="B503" t="s">
        <v>7</v>
      </c>
      <c r="C503" t="s">
        <v>46</v>
      </c>
      <c r="D503">
        <v>0.33333333333333331</v>
      </c>
      <c r="E503">
        <v>0.66666666666666674</v>
      </c>
      <c r="F503">
        <v>308.2</v>
      </c>
      <c r="G503">
        <v>2453</v>
      </c>
      <c r="H503">
        <f t="shared" si="28"/>
        <v>-1.99</v>
      </c>
      <c r="I503">
        <v>0.13669542544552385</v>
      </c>
      <c r="J503" t="str">
        <f t="shared" si="29"/>
        <v>C[N+](C)(C)CCO.[Cl-]C(CO)N</v>
      </c>
      <c r="K503">
        <v>79</v>
      </c>
      <c r="M503">
        <f t="shared" si="30"/>
        <v>-0.3339017829560344</v>
      </c>
      <c r="N503">
        <f t="shared" si="31"/>
        <v>0.75056839909996287</v>
      </c>
    </row>
    <row r="504" spans="1:14" x14ac:dyDescent="0.35">
      <c r="A504">
        <v>502</v>
      </c>
      <c r="B504" t="s">
        <v>7</v>
      </c>
      <c r="C504" t="s">
        <v>46</v>
      </c>
      <c r="D504">
        <v>0.33333333333333331</v>
      </c>
      <c r="E504">
        <v>0.66666666666666674</v>
      </c>
      <c r="F504">
        <v>308.2</v>
      </c>
      <c r="G504">
        <v>3445</v>
      </c>
      <c r="H504">
        <f t="shared" si="28"/>
        <v>-1.75</v>
      </c>
      <c r="I504">
        <v>0.17377394345044514</v>
      </c>
      <c r="J504" t="str">
        <f t="shared" si="29"/>
        <v>C[N+](C)(C)CCO.[Cl-]C(CO)N</v>
      </c>
      <c r="K504">
        <v>79</v>
      </c>
      <c r="M504">
        <f t="shared" si="30"/>
        <v>-0.3339017829560344</v>
      </c>
      <c r="N504">
        <f t="shared" si="31"/>
        <v>1.3053796058852258</v>
      </c>
    </row>
    <row r="505" spans="1:14" x14ac:dyDescent="0.35">
      <c r="A505">
        <v>503</v>
      </c>
      <c r="B505" t="s">
        <v>7</v>
      </c>
      <c r="C505" t="s">
        <v>46</v>
      </c>
      <c r="D505">
        <v>0.33333333333333331</v>
      </c>
      <c r="E505">
        <v>0.66666666666666674</v>
      </c>
      <c r="F505">
        <v>308.2</v>
      </c>
      <c r="G505">
        <v>4376</v>
      </c>
      <c r="H505">
        <f t="shared" si="28"/>
        <v>-1.63</v>
      </c>
      <c r="I505">
        <v>0.19592957412690937</v>
      </c>
      <c r="J505" t="str">
        <f t="shared" si="29"/>
        <v>C[N+](C)(C)CCO.[Cl-]C(CO)N</v>
      </c>
      <c r="K505">
        <v>79</v>
      </c>
      <c r="M505">
        <f t="shared" si="30"/>
        <v>-0.3339017829560344</v>
      </c>
      <c r="N505">
        <f t="shared" si="31"/>
        <v>1.8260743977371208</v>
      </c>
    </row>
    <row r="506" spans="1:14" x14ac:dyDescent="0.35">
      <c r="A506">
        <v>504</v>
      </c>
      <c r="B506" t="s">
        <v>7</v>
      </c>
      <c r="C506" t="s">
        <v>46</v>
      </c>
      <c r="D506">
        <v>0.33333333333333331</v>
      </c>
      <c r="E506">
        <v>0.66666666666666674</v>
      </c>
      <c r="F506">
        <v>318.2</v>
      </c>
      <c r="G506">
        <v>706</v>
      </c>
      <c r="H506">
        <f t="shared" si="28"/>
        <v>-3.12</v>
      </c>
      <c r="I506">
        <v>4.415716841969286E-2</v>
      </c>
      <c r="J506" t="str">
        <f t="shared" si="29"/>
        <v>C[N+](C)(C)CCO.[Cl-]C(CO)N</v>
      </c>
      <c r="K506">
        <v>79</v>
      </c>
      <c r="M506">
        <f t="shared" si="30"/>
        <v>0.44981489359141091</v>
      </c>
      <c r="N506">
        <f t="shared" si="31"/>
        <v>-0.22650335317206766</v>
      </c>
    </row>
    <row r="507" spans="1:14" x14ac:dyDescent="0.35">
      <c r="A507">
        <v>505</v>
      </c>
      <c r="B507" t="s">
        <v>7</v>
      </c>
      <c r="C507" t="s">
        <v>46</v>
      </c>
      <c r="D507">
        <v>0.33333333333333331</v>
      </c>
      <c r="E507">
        <v>0.66666666666666674</v>
      </c>
      <c r="F507">
        <v>318.2</v>
      </c>
      <c r="G507">
        <v>1661</v>
      </c>
      <c r="H507">
        <f t="shared" si="28"/>
        <v>-2.39</v>
      </c>
      <c r="I507">
        <v>9.1629683877504836E-2</v>
      </c>
      <c r="J507" t="str">
        <f t="shared" si="29"/>
        <v>C[N+](C)(C)CCO.[Cl-]C(CO)N</v>
      </c>
      <c r="K507">
        <v>79</v>
      </c>
      <c r="M507">
        <f t="shared" si="30"/>
        <v>0.44981489359141091</v>
      </c>
      <c r="N507">
        <f t="shared" si="31"/>
        <v>0.30761429045689009</v>
      </c>
    </row>
    <row r="508" spans="1:14" x14ac:dyDescent="0.35">
      <c r="A508">
        <v>506</v>
      </c>
      <c r="B508" t="s">
        <v>7</v>
      </c>
      <c r="C508" t="s">
        <v>46</v>
      </c>
      <c r="D508">
        <v>0.33333333333333331</v>
      </c>
      <c r="E508">
        <v>0.66666666666666674</v>
      </c>
      <c r="F508">
        <v>318.2</v>
      </c>
      <c r="G508">
        <v>2618</v>
      </c>
      <c r="H508">
        <f t="shared" si="28"/>
        <v>-2.06</v>
      </c>
      <c r="I508">
        <v>0.12745396989482075</v>
      </c>
      <c r="J508" t="str">
        <f t="shared" si="29"/>
        <v>C[N+](C)(C)CCO.[Cl-]C(CO)N</v>
      </c>
      <c r="K508">
        <v>79</v>
      </c>
      <c r="M508">
        <f t="shared" si="30"/>
        <v>0.44981489359141091</v>
      </c>
      <c r="N508">
        <f t="shared" si="31"/>
        <v>0.84285050506726977</v>
      </c>
    </row>
    <row r="509" spans="1:14" x14ac:dyDescent="0.35">
      <c r="A509">
        <v>507</v>
      </c>
      <c r="B509" t="s">
        <v>7</v>
      </c>
      <c r="C509" t="s">
        <v>46</v>
      </c>
      <c r="D509">
        <v>0.33333333333333331</v>
      </c>
      <c r="E509">
        <v>0.66666666666666674</v>
      </c>
      <c r="F509">
        <v>318.2</v>
      </c>
      <c r="G509">
        <v>3527</v>
      </c>
      <c r="H509">
        <f t="shared" si="28"/>
        <v>-1.78</v>
      </c>
      <c r="I509">
        <v>0.1686381472685955</v>
      </c>
      <c r="J509" t="str">
        <f t="shared" si="29"/>
        <v>C[N+](C)(C)CCO.[Cl-]C(CO)N</v>
      </c>
      <c r="K509">
        <v>79</v>
      </c>
      <c r="M509">
        <f t="shared" si="30"/>
        <v>0.44981489359141091</v>
      </c>
      <c r="N509">
        <f t="shared" si="31"/>
        <v>1.3512410161235238</v>
      </c>
    </row>
    <row r="510" spans="1:14" x14ac:dyDescent="0.35">
      <c r="A510">
        <v>508</v>
      </c>
      <c r="B510" t="s">
        <v>7</v>
      </c>
      <c r="C510" t="s">
        <v>46</v>
      </c>
      <c r="D510">
        <v>0.33333333333333331</v>
      </c>
      <c r="E510">
        <v>0.66666666666666674</v>
      </c>
      <c r="F510">
        <v>318.2</v>
      </c>
      <c r="G510">
        <v>4504</v>
      </c>
      <c r="H510">
        <f t="shared" si="28"/>
        <v>-1.67</v>
      </c>
      <c r="I510">
        <v>0.1882470656387468</v>
      </c>
      <c r="J510" t="str">
        <f t="shared" si="29"/>
        <v>C[N+](C)(C)CCO.[Cl-]C(CO)N</v>
      </c>
      <c r="K510">
        <v>79</v>
      </c>
      <c r="M510">
        <f t="shared" si="30"/>
        <v>0.44981489359141091</v>
      </c>
      <c r="N510">
        <f t="shared" si="31"/>
        <v>1.8976629405481225</v>
      </c>
    </row>
    <row r="511" spans="1:14" x14ac:dyDescent="0.35">
      <c r="A511">
        <v>509</v>
      </c>
      <c r="B511" t="s">
        <v>7</v>
      </c>
      <c r="C511" t="s">
        <v>46</v>
      </c>
      <c r="D511">
        <v>0.33333333333333331</v>
      </c>
      <c r="E511">
        <v>0.66666666666666674</v>
      </c>
      <c r="F511">
        <v>328.2</v>
      </c>
      <c r="G511">
        <v>692</v>
      </c>
      <c r="H511">
        <f t="shared" si="28"/>
        <v>-3.17</v>
      </c>
      <c r="I511">
        <v>4.2003597903445551E-2</v>
      </c>
      <c r="J511" t="str">
        <f t="shared" si="29"/>
        <v>C[N+](C)(C)CCO.[Cl-]C(CO)N</v>
      </c>
      <c r="K511">
        <v>79</v>
      </c>
      <c r="M511">
        <f t="shared" si="30"/>
        <v>1.2335315701388563</v>
      </c>
      <c r="N511">
        <f t="shared" si="31"/>
        <v>-0.23433335004202097</v>
      </c>
    </row>
    <row r="512" spans="1:14" x14ac:dyDescent="0.35">
      <c r="A512">
        <v>510</v>
      </c>
      <c r="B512" t="s">
        <v>7</v>
      </c>
      <c r="C512" t="s">
        <v>46</v>
      </c>
      <c r="D512">
        <v>0.33333333333333331</v>
      </c>
      <c r="E512">
        <v>0.66666666666666674</v>
      </c>
      <c r="F512">
        <v>328.2</v>
      </c>
      <c r="G512">
        <v>1691</v>
      </c>
      <c r="H512">
        <f t="shared" si="28"/>
        <v>-2.4300000000000002</v>
      </c>
      <c r="I512">
        <v>8.8036832582372548E-2</v>
      </c>
      <c r="J512" t="str">
        <f t="shared" si="29"/>
        <v>C[N+](C)(C)CCO.[Cl-]C(CO)N</v>
      </c>
      <c r="K512">
        <v>79</v>
      </c>
      <c r="M512">
        <f t="shared" si="30"/>
        <v>1.2335315701388563</v>
      </c>
      <c r="N512">
        <f t="shared" si="31"/>
        <v>0.32439285517821864</v>
      </c>
    </row>
    <row r="513" spans="1:14" x14ac:dyDescent="0.35">
      <c r="A513">
        <v>511</v>
      </c>
      <c r="B513" t="s">
        <v>7</v>
      </c>
      <c r="C513" t="s">
        <v>46</v>
      </c>
      <c r="D513">
        <v>0.33333333333333331</v>
      </c>
      <c r="E513">
        <v>0.66666666666666674</v>
      </c>
      <c r="F513">
        <v>328.2</v>
      </c>
      <c r="G513">
        <v>2544</v>
      </c>
      <c r="H513">
        <f t="shared" si="28"/>
        <v>-2.14</v>
      </c>
      <c r="I513">
        <v>0.11765484302177918</v>
      </c>
      <c r="J513" t="str">
        <f t="shared" si="29"/>
        <v>C[N+](C)(C)CCO.[Cl-]C(CO)N</v>
      </c>
      <c r="K513">
        <v>79</v>
      </c>
      <c r="M513">
        <f t="shared" si="30"/>
        <v>1.2335315701388563</v>
      </c>
      <c r="N513">
        <f t="shared" si="31"/>
        <v>0.80146337875465945</v>
      </c>
    </row>
    <row r="514" spans="1:14" x14ac:dyDescent="0.35">
      <c r="A514">
        <v>512</v>
      </c>
      <c r="B514" t="s">
        <v>7</v>
      </c>
      <c r="C514" t="s">
        <v>46</v>
      </c>
      <c r="D514">
        <v>0.33333333333333331</v>
      </c>
      <c r="E514">
        <v>0.66666666666666674</v>
      </c>
      <c r="F514">
        <v>328.2</v>
      </c>
      <c r="G514">
        <v>3577</v>
      </c>
      <c r="H514">
        <f t="shared" si="28"/>
        <v>-1.86</v>
      </c>
      <c r="I514">
        <v>0.15567263036799731</v>
      </c>
      <c r="J514" t="str">
        <f t="shared" si="29"/>
        <v>C[N+](C)(C)CCO.[Cl-]C(CO)N</v>
      </c>
      <c r="K514">
        <v>79</v>
      </c>
      <c r="M514">
        <f t="shared" si="30"/>
        <v>1.2335315701388563</v>
      </c>
      <c r="N514">
        <f t="shared" si="31"/>
        <v>1.3792052906590713</v>
      </c>
    </row>
    <row r="515" spans="1:14" x14ac:dyDescent="0.35">
      <c r="A515">
        <v>513</v>
      </c>
      <c r="B515" t="s">
        <v>7</v>
      </c>
      <c r="C515" t="s">
        <v>46</v>
      </c>
      <c r="D515">
        <v>0.33333333333333331</v>
      </c>
      <c r="E515">
        <v>0.66666666666666674</v>
      </c>
      <c r="F515">
        <v>328.2</v>
      </c>
      <c r="G515">
        <v>4499</v>
      </c>
      <c r="H515">
        <f t="shared" ref="H515:H578" si="32">LN(I515)</f>
        <v>-1.74</v>
      </c>
      <c r="I515">
        <v>0.17552040061699686</v>
      </c>
      <c r="J515" t="str">
        <f t="shared" ref="J515:J578" si="33">_xlfn.CONCAT(B515,C515)</f>
        <v>C[N+](C)(C)CCO.[Cl-]C(CO)N</v>
      </c>
      <c r="K515">
        <v>79</v>
      </c>
      <c r="M515">
        <f t="shared" ref="M515:M578" si="34">(F515-$L$3)/$L$2</f>
        <v>1.2335315701388563</v>
      </c>
      <c r="N515">
        <f t="shared" ref="N515:N578" si="35">(G515-$L$6)/$L$5</f>
        <v>1.8948665130945677</v>
      </c>
    </row>
    <row r="516" spans="1:14" x14ac:dyDescent="0.35">
      <c r="A516">
        <v>514</v>
      </c>
      <c r="B516" t="s">
        <v>12</v>
      </c>
      <c r="C516" t="s">
        <v>69</v>
      </c>
      <c r="D516">
        <v>0.33333333333333331</v>
      </c>
      <c r="E516">
        <v>0.66666666666666674</v>
      </c>
      <c r="F516">
        <v>298.14999999999998</v>
      </c>
      <c r="G516">
        <v>90</v>
      </c>
      <c r="H516">
        <f t="shared" si="32"/>
        <v>-4.3899999999999997</v>
      </c>
      <c r="I516">
        <v>1.2400729220443406E-2</v>
      </c>
      <c r="J516" t="str">
        <f t="shared" si="33"/>
        <v>CCCC[N+](CCCC)(CCCC)CCCC.[Cl-]CCCCCCCCCC(=O)O</v>
      </c>
      <c r="K516">
        <v>39</v>
      </c>
      <c r="M516">
        <f t="shared" si="34"/>
        <v>-1.1215370428862177</v>
      </c>
      <c r="N516">
        <f t="shared" si="35"/>
        <v>-0.57102321545001322</v>
      </c>
    </row>
    <row r="517" spans="1:14" x14ac:dyDescent="0.35">
      <c r="A517">
        <v>515</v>
      </c>
      <c r="B517" t="s">
        <v>12</v>
      </c>
      <c r="C517" t="s">
        <v>69</v>
      </c>
      <c r="D517">
        <v>0.33333333333333331</v>
      </c>
      <c r="E517">
        <v>0.66666666666666674</v>
      </c>
      <c r="F517">
        <v>298.14999999999998</v>
      </c>
      <c r="G517">
        <v>190</v>
      </c>
      <c r="H517">
        <f t="shared" si="32"/>
        <v>-3.66</v>
      </c>
      <c r="I517">
        <v>2.573251272635994E-2</v>
      </c>
      <c r="J517" t="str">
        <f t="shared" si="33"/>
        <v>CCCC[N+](CCCC)(CCCC)CCCC.[Cl-]CCCCCCCCCC(=O)O</v>
      </c>
      <c r="K517">
        <v>39</v>
      </c>
      <c r="M517">
        <f t="shared" si="34"/>
        <v>-1.1215370428862177</v>
      </c>
      <c r="N517">
        <f t="shared" si="35"/>
        <v>-0.5150946663789181</v>
      </c>
    </row>
    <row r="518" spans="1:14" x14ac:dyDescent="0.35">
      <c r="A518">
        <v>516</v>
      </c>
      <c r="B518" t="s">
        <v>12</v>
      </c>
      <c r="C518" t="s">
        <v>69</v>
      </c>
      <c r="D518">
        <v>0.33333333333333331</v>
      </c>
      <c r="E518">
        <v>0.66666666666666674</v>
      </c>
      <c r="F518">
        <v>298.14999999999998</v>
      </c>
      <c r="G518">
        <v>290</v>
      </c>
      <c r="H518">
        <f t="shared" si="32"/>
        <v>-3.2467610283577364</v>
      </c>
      <c r="I518">
        <v>3.8899999999999997E-2</v>
      </c>
      <c r="J518" t="str">
        <f t="shared" si="33"/>
        <v>CCCC[N+](CCCC)(CCCC)CCCC.[Cl-]CCCCCCCCCC(=O)O</v>
      </c>
      <c r="K518">
        <v>39</v>
      </c>
      <c r="M518">
        <f t="shared" si="34"/>
        <v>-1.1215370428862177</v>
      </c>
      <c r="N518">
        <f t="shared" si="35"/>
        <v>-0.45916611730782309</v>
      </c>
    </row>
    <row r="519" spans="1:14" x14ac:dyDescent="0.35">
      <c r="A519">
        <v>517</v>
      </c>
      <c r="B519" t="s">
        <v>12</v>
      </c>
      <c r="C519" t="s">
        <v>69</v>
      </c>
      <c r="D519">
        <v>0.33333333333333331</v>
      </c>
      <c r="E519">
        <v>0.66666666666666674</v>
      </c>
      <c r="F519">
        <v>298.14999999999998</v>
      </c>
      <c r="G519">
        <v>390</v>
      </c>
      <c r="H519">
        <f t="shared" si="32"/>
        <v>-2.95</v>
      </c>
      <c r="I519">
        <v>5.2339705948432381E-2</v>
      </c>
      <c r="J519" t="str">
        <f t="shared" si="33"/>
        <v>CCCC[N+](CCCC)(CCCC)CCCC.[Cl-]CCCCCCCCCC(=O)O</v>
      </c>
      <c r="K519">
        <v>39</v>
      </c>
      <c r="M519">
        <f t="shared" si="34"/>
        <v>-1.1215370428862177</v>
      </c>
      <c r="N519">
        <f t="shared" si="35"/>
        <v>-0.40323756823672802</v>
      </c>
    </row>
    <row r="520" spans="1:14" x14ac:dyDescent="0.35">
      <c r="A520">
        <v>518</v>
      </c>
      <c r="B520" t="s">
        <v>12</v>
      </c>
      <c r="C520" t="s">
        <v>69</v>
      </c>
      <c r="D520">
        <v>0.33333333333333331</v>
      </c>
      <c r="E520">
        <v>0.66666666666666674</v>
      </c>
      <c r="F520">
        <v>298.14999999999998</v>
      </c>
      <c r="G520">
        <v>490</v>
      </c>
      <c r="H520">
        <f t="shared" si="32"/>
        <v>-2.7287632426997517</v>
      </c>
      <c r="I520">
        <v>6.5299999999999997E-2</v>
      </c>
      <c r="J520" t="str">
        <f t="shared" si="33"/>
        <v>CCCC[N+](CCCC)(CCCC)CCCC.[Cl-]CCCCCCCCCC(=O)O</v>
      </c>
      <c r="K520">
        <v>39</v>
      </c>
      <c r="M520">
        <f t="shared" si="34"/>
        <v>-1.1215370428862177</v>
      </c>
      <c r="N520">
        <f t="shared" si="35"/>
        <v>-0.34730901916563295</v>
      </c>
    </row>
    <row r="521" spans="1:14" x14ac:dyDescent="0.35">
      <c r="A521">
        <v>519</v>
      </c>
      <c r="B521" t="s">
        <v>12</v>
      </c>
      <c r="C521" t="s">
        <v>69</v>
      </c>
      <c r="D521">
        <v>0.33333333333333331</v>
      </c>
      <c r="E521">
        <v>0.66666666666666674</v>
      </c>
      <c r="F521">
        <v>298.14999999999998</v>
      </c>
      <c r="G521">
        <v>690</v>
      </c>
      <c r="H521">
        <f t="shared" si="32"/>
        <v>-2.4024054282762566</v>
      </c>
      <c r="I521">
        <v>9.0499999999999997E-2</v>
      </c>
      <c r="J521" t="str">
        <f t="shared" si="33"/>
        <v>CCCC[N+](CCCC)(CCCC)CCCC.[Cl-]CCCCCCCCCC(=O)O</v>
      </c>
      <c r="K521">
        <v>39</v>
      </c>
      <c r="M521">
        <f t="shared" si="34"/>
        <v>-1.1215370428862177</v>
      </c>
      <c r="N521">
        <f t="shared" si="35"/>
        <v>-0.23545192102344284</v>
      </c>
    </row>
    <row r="522" spans="1:14" x14ac:dyDescent="0.35">
      <c r="A522">
        <v>520</v>
      </c>
      <c r="B522" t="s">
        <v>12</v>
      </c>
      <c r="C522" t="s">
        <v>69</v>
      </c>
      <c r="D522">
        <v>0.33333333333333331</v>
      </c>
      <c r="E522">
        <v>0.66666666666666674</v>
      </c>
      <c r="F522">
        <v>298.14999999999998</v>
      </c>
      <c r="G522">
        <v>790</v>
      </c>
      <c r="H522">
        <f t="shared" si="32"/>
        <v>-2.2759431620476245</v>
      </c>
      <c r="I522">
        <v>0.1027</v>
      </c>
      <c r="J522" t="str">
        <f t="shared" si="33"/>
        <v>CCCC[N+](CCCC)(CCCC)CCCC.[Cl-]CCCCCCCCCC(=O)O</v>
      </c>
      <c r="K522">
        <v>39</v>
      </c>
      <c r="M522">
        <f t="shared" si="34"/>
        <v>-1.1215370428862177</v>
      </c>
      <c r="N522">
        <f t="shared" si="35"/>
        <v>-0.1795233719523478</v>
      </c>
    </row>
    <row r="523" spans="1:14" x14ac:dyDescent="0.35">
      <c r="A523">
        <v>521</v>
      </c>
      <c r="B523" t="s">
        <v>12</v>
      </c>
      <c r="C523" t="s">
        <v>69</v>
      </c>
      <c r="D523">
        <v>0.33333333333333331</v>
      </c>
      <c r="E523">
        <v>0.66666666666666674</v>
      </c>
      <c r="F523">
        <v>298.14999999999998</v>
      </c>
      <c r="G523">
        <v>990</v>
      </c>
      <c r="H523">
        <f t="shared" si="32"/>
        <v>-2.0675129708145623</v>
      </c>
      <c r="I523">
        <v>0.1265</v>
      </c>
      <c r="J523" t="str">
        <f t="shared" si="33"/>
        <v>CCCC[N+](CCCC)(CCCC)CCCC.[Cl-]CCCCCCCCCC(=O)O</v>
      </c>
      <c r="K523">
        <v>39</v>
      </c>
      <c r="M523">
        <f t="shared" si="34"/>
        <v>-1.1215370428862177</v>
      </c>
      <c r="N523">
        <f t="shared" si="35"/>
        <v>-6.766627381015769E-2</v>
      </c>
    </row>
    <row r="524" spans="1:14" x14ac:dyDescent="0.35">
      <c r="A524">
        <v>522</v>
      </c>
      <c r="B524" t="s">
        <v>12</v>
      </c>
      <c r="C524" t="s">
        <v>69</v>
      </c>
      <c r="D524">
        <v>0.33333333333333331</v>
      </c>
      <c r="E524">
        <v>0.66666666666666674</v>
      </c>
      <c r="F524">
        <v>298.14999999999998</v>
      </c>
      <c r="G524">
        <v>1190</v>
      </c>
      <c r="H524">
        <f t="shared" si="32"/>
        <v>-1.8951219822232084</v>
      </c>
      <c r="I524">
        <v>0.15029999999999999</v>
      </c>
      <c r="J524" t="str">
        <f t="shared" si="33"/>
        <v>CCCC[N+](CCCC)(CCCC)CCCC.[Cl-]CCCCCCCCCC(=O)O</v>
      </c>
      <c r="K524">
        <v>39</v>
      </c>
      <c r="M524">
        <f t="shared" si="34"/>
        <v>-1.1215370428862177</v>
      </c>
      <c r="N524">
        <f t="shared" si="35"/>
        <v>4.4190824332032412E-2</v>
      </c>
    </row>
    <row r="525" spans="1:14" x14ac:dyDescent="0.35">
      <c r="A525">
        <v>523</v>
      </c>
      <c r="B525" t="s">
        <v>12</v>
      </c>
      <c r="C525" t="s">
        <v>69</v>
      </c>
      <c r="D525">
        <v>0.33333333333333331</v>
      </c>
      <c r="E525">
        <v>0.66666666666666674</v>
      </c>
      <c r="F525">
        <v>298.14999999999998</v>
      </c>
      <c r="G525">
        <v>1490</v>
      </c>
      <c r="H525">
        <f t="shared" si="32"/>
        <v>-1.6857791456908231</v>
      </c>
      <c r="I525">
        <v>0.18529999999999999</v>
      </c>
      <c r="J525" t="str">
        <f t="shared" si="33"/>
        <v>CCCC[N+](CCCC)(CCCC)CCCC.[Cl-]CCCCCCCCCC(=O)O</v>
      </c>
      <c r="K525">
        <v>39</v>
      </c>
      <c r="M525">
        <f t="shared" si="34"/>
        <v>-1.1215370428862177</v>
      </c>
      <c r="N525">
        <f t="shared" si="35"/>
        <v>0.21197647154531757</v>
      </c>
    </row>
    <row r="526" spans="1:14" x14ac:dyDescent="0.35">
      <c r="A526">
        <v>524</v>
      </c>
      <c r="B526" t="s">
        <v>12</v>
      </c>
      <c r="C526" t="s">
        <v>69</v>
      </c>
      <c r="D526">
        <v>0.33333333333333331</v>
      </c>
      <c r="E526">
        <v>0.66666666666666674</v>
      </c>
      <c r="F526">
        <v>298.14999999999998</v>
      </c>
      <c r="G526">
        <v>1790</v>
      </c>
      <c r="H526">
        <f t="shared" si="32"/>
        <v>-1.5237190370315628</v>
      </c>
      <c r="I526">
        <v>0.21790000000000001</v>
      </c>
      <c r="J526" t="str">
        <f t="shared" si="33"/>
        <v>CCCC[N+](CCCC)(CCCC)CCCC.[Cl-]CCCCCCCCCC(=O)O</v>
      </c>
      <c r="K526">
        <v>39</v>
      </c>
      <c r="M526">
        <f t="shared" si="34"/>
        <v>-1.1215370428862177</v>
      </c>
      <c r="N526">
        <f t="shared" si="35"/>
        <v>0.37976211875860272</v>
      </c>
    </row>
    <row r="527" spans="1:14" x14ac:dyDescent="0.35">
      <c r="A527">
        <v>525</v>
      </c>
      <c r="B527" t="s">
        <v>12</v>
      </c>
      <c r="C527" t="s">
        <v>69</v>
      </c>
      <c r="D527">
        <v>0.33333333333333331</v>
      </c>
      <c r="E527">
        <v>0.66666666666666674</v>
      </c>
      <c r="F527">
        <v>298.14999999999998</v>
      </c>
      <c r="G527">
        <v>1990</v>
      </c>
      <c r="H527">
        <f t="shared" si="32"/>
        <v>-1.4296194858582643</v>
      </c>
      <c r="I527">
        <v>0.2394</v>
      </c>
      <c r="J527" t="str">
        <f t="shared" si="33"/>
        <v>CCCC[N+](CCCC)(CCCC)CCCC.[Cl-]CCCCCCCCCC(=O)O</v>
      </c>
      <c r="K527">
        <v>39</v>
      </c>
      <c r="M527">
        <f t="shared" si="34"/>
        <v>-1.1215370428862177</v>
      </c>
      <c r="N527">
        <f t="shared" si="35"/>
        <v>0.49161921690079285</v>
      </c>
    </row>
    <row r="528" spans="1:14" x14ac:dyDescent="0.35">
      <c r="A528">
        <v>526</v>
      </c>
      <c r="B528" t="s">
        <v>12</v>
      </c>
      <c r="C528" t="s">
        <v>69</v>
      </c>
      <c r="D528">
        <v>0.33333333333333331</v>
      </c>
      <c r="E528">
        <v>0.66666666666666674</v>
      </c>
      <c r="F528">
        <v>308.14999999999998</v>
      </c>
      <c r="G528">
        <v>90</v>
      </c>
      <c r="H528">
        <f t="shared" si="32"/>
        <v>-4.5999999999999996</v>
      </c>
      <c r="I528">
        <v>1.0051835744633586E-2</v>
      </c>
      <c r="J528" t="str">
        <f t="shared" si="33"/>
        <v>CCCC[N+](CCCC)(CCCC)CCCC.[Cl-]CCCCCCCCCC(=O)O</v>
      </c>
      <c r="K528">
        <v>39</v>
      </c>
      <c r="M528">
        <f t="shared" si="34"/>
        <v>-0.33782036633877249</v>
      </c>
      <c r="N528">
        <f t="shared" si="35"/>
        <v>-0.57102321545001322</v>
      </c>
    </row>
    <row r="529" spans="1:14" x14ac:dyDescent="0.35">
      <c r="A529">
        <v>527</v>
      </c>
      <c r="B529" t="s">
        <v>12</v>
      </c>
      <c r="C529" t="s">
        <v>69</v>
      </c>
      <c r="D529">
        <v>0.33333333333333331</v>
      </c>
      <c r="E529">
        <v>0.66666666666666674</v>
      </c>
      <c r="F529">
        <v>308.14999999999998</v>
      </c>
      <c r="G529">
        <v>190</v>
      </c>
      <c r="H529">
        <f t="shared" si="32"/>
        <v>-3.83</v>
      </c>
      <c r="I529">
        <v>2.1709615629848571E-2</v>
      </c>
      <c r="J529" t="str">
        <f t="shared" si="33"/>
        <v>CCCC[N+](CCCC)(CCCC)CCCC.[Cl-]CCCCCCCCCC(=O)O</v>
      </c>
      <c r="K529">
        <v>39</v>
      </c>
      <c r="M529">
        <f t="shared" si="34"/>
        <v>-0.33782036633877249</v>
      </c>
      <c r="N529">
        <f t="shared" si="35"/>
        <v>-0.5150946663789181</v>
      </c>
    </row>
    <row r="530" spans="1:14" x14ac:dyDescent="0.35">
      <c r="A530">
        <v>528</v>
      </c>
      <c r="B530" t="s">
        <v>12</v>
      </c>
      <c r="C530" t="s">
        <v>69</v>
      </c>
      <c r="D530">
        <v>0.33333333333333331</v>
      </c>
      <c r="E530">
        <v>0.66666666666666674</v>
      </c>
      <c r="F530">
        <v>308.14999999999998</v>
      </c>
      <c r="G530">
        <v>290</v>
      </c>
      <c r="H530">
        <f t="shared" si="32"/>
        <v>-3.396209840151116</v>
      </c>
      <c r="I530">
        <v>3.3500000000000002E-2</v>
      </c>
      <c r="J530" t="str">
        <f t="shared" si="33"/>
        <v>CCCC[N+](CCCC)(CCCC)CCCC.[Cl-]CCCCCCCCCC(=O)O</v>
      </c>
      <c r="K530">
        <v>39</v>
      </c>
      <c r="M530">
        <f t="shared" si="34"/>
        <v>-0.33782036633877249</v>
      </c>
      <c r="N530">
        <f t="shared" si="35"/>
        <v>-0.45916611730782309</v>
      </c>
    </row>
    <row r="531" spans="1:14" x14ac:dyDescent="0.35">
      <c r="A531">
        <v>529</v>
      </c>
      <c r="B531" t="s">
        <v>12</v>
      </c>
      <c r="C531" t="s">
        <v>69</v>
      </c>
      <c r="D531">
        <v>0.33333333333333331</v>
      </c>
      <c r="E531">
        <v>0.66666666666666674</v>
      </c>
      <c r="F531">
        <v>308.14999999999998</v>
      </c>
      <c r="G531">
        <v>390</v>
      </c>
      <c r="H531">
        <f t="shared" si="32"/>
        <v>-3.107781777362614</v>
      </c>
      <c r="I531">
        <v>4.4699999999999997E-2</v>
      </c>
      <c r="J531" t="str">
        <f t="shared" si="33"/>
        <v>CCCC[N+](CCCC)(CCCC)CCCC.[Cl-]CCCCCCCCCC(=O)O</v>
      </c>
      <c r="K531">
        <v>39</v>
      </c>
      <c r="M531">
        <f t="shared" si="34"/>
        <v>-0.33782036633877249</v>
      </c>
      <c r="N531">
        <f t="shared" si="35"/>
        <v>-0.40323756823672802</v>
      </c>
    </row>
    <row r="532" spans="1:14" x14ac:dyDescent="0.35">
      <c r="A532">
        <v>530</v>
      </c>
      <c r="B532" t="s">
        <v>12</v>
      </c>
      <c r="C532" t="s">
        <v>69</v>
      </c>
      <c r="D532">
        <v>0.33333333333333331</v>
      </c>
      <c r="E532">
        <v>0.66666666666666674</v>
      </c>
      <c r="F532">
        <v>308.14999999999998</v>
      </c>
      <c r="G532">
        <v>490</v>
      </c>
      <c r="H532">
        <f t="shared" si="32"/>
        <v>-2.8859814095948719</v>
      </c>
      <c r="I532">
        <v>5.5800000000000002E-2</v>
      </c>
      <c r="J532" t="str">
        <f t="shared" si="33"/>
        <v>CCCC[N+](CCCC)(CCCC)CCCC.[Cl-]CCCCCCCCCC(=O)O</v>
      </c>
      <c r="K532">
        <v>39</v>
      </c>
      <c r="M532">
        <f t="shared" si="34"/>
        <v>-0.33782036633877249</v>
      </c>
      <c r="N532">
        <f t="shared" si="35"/>
        <v>-0.34730901916563295</v>
      </c>
    </row>
    <row r="533" spans="1:14" x14ac:dyDescent="0.35">
      <c r="A533">
        <v>531</v>
      </c>
      <c r="B533" t="s">
        <v>12</v>
      </c>
      <c r="C533" t="s">
        <v>69</v>
      </c>
      <c r="D533">
        <v>0.33333333333333331</v>
      </c>
      <c r="E533">
        <v>0.66666666666666674</v>
      </c>
      <c r="F533">
        <v>308.14999999999998</v>
      </c>
      <c r="G533">
        <v>690</v>
      </c>
      <c r="H533">
        <f t="shared" si="32"/>
        <v>-2.553613847797791</v>
      </c>
      <c r="I533">
        <v>7.7799999999999994E-2</v>
      </c>
      <c r="J533" t="str">
        <f t="shared" si="33"/>
        <v>CCCC[N+](CCCC)(CCCC)CCCC.[Cl-]CCCCCCCCCC(=O)O</v>
      </c>
      <c r="K533">
        <v>39</v>
      </c>
      <c r="M533">
        <f t="shared" si="34"/>
        <v>-0.33782036633877249</v>
      </c>
      <c r="N533">
        <f t="shared" si="35"/>
        <v>-0.23545192102344284</v>
      </c>
    </row>
    <row r="534" spans="1:14" x14ac:dyDescent="0.35">
      <c r="A534">
        <v>532</v>
      </c>
      <c r="B534" t="s">
        <v>12</v>
      </c>
      <c r="C534" t="s">
        <v>69</v>
      </c>
      <c r="D534">
        <v>0.33333333333333331</v>
      </c>
      <c r="E534">
        <v>0.66666666666666674</v>
      </c>
      <c r="F534">
        <v>308.14999999999998</v>
      </c>
      <c r="G534">
        <v>790</v>
      </c>
      <c r="H534">
        <f t="shared" si="32"/>
        <v>-2.4236234213711016</v>
      </c>
      <c r="I534">
        <v>8.8599999999999998E-2</v>
      </c>
      <c r="J534" t="str">
        <f t="shared" si="33"/>
        <v>CCCC[N+](CCCC)(CCCC)CCCC.[Cl-]CCCCCCCCCC(=O)O</v>
      </c>
      <c r="K534">
        <v>39</v>
      </c>
      <c r="M534">
        <f t="shared" si="34"/>
        <v>-0.33782036633877249</v>
      </c>
      <c r="N534">
        <f t="shared" si="35"/>
        <v>-0.1795233719523478</v>
      </c>
    </row>
    <row r="535" spans="1:14" x14ac:dyDescent="0.35">
      <c r="A535">
        <v>533</v>
      </c>
      <c r="B535" t="s">
        <v>12</v>
      </c>
      <c r="C535" t="s">
        <v>69</v>
      </c>
      <c r="D535">
        <v>0.33333333333333331</v>
      </c>
      <c r="E535">
        <v>0.66666666666666674</v>
      </c>
      <c r="F535">
        <v>308.14999999999998</v>
      </c>
      <c r="G535">
        <v>990</v>
      </c>
      <c r="H535">
        <f t="shared" si="32"/>
        <v>-2.21</v>
      </c>
      <c r="I535">
        <v>0.10970064851551141</v>
      </c>
      <c r="J535" t="str">
        <f t="shared" si="33"/>
        <v>CCCC[N+](CCCC)(CCCC)CCCC.[Cl-]CCCCCCCCCC(=O)O</v>
      </c>
      <c r="K535">
        <v>39</v>
      </c>
      <c r="M535">
        <f t="shared" si="34"/>
        <v>-0.33782036633877249</v>
      </c>
      <c r="N535">
        <f t="shared" si="35"/>
        <v>-6.766627381015769E-2</v>
      </c>
    </row>
    <row r="536" spans="1:14" x14ac:dyDescent="0.35">
      <c r="A536">
        <v>534</v>
      </c>
      <c r="B536" t="s">
        <v>12</v>
      </c>
      <c r="C536" t="s">
        <v>69</v>
      </c>
      <c r="D536">
        <v>0.33333333333333331</v>
      </c>
      <c r="E536">
        <v>0.66666666666666674</v>
      </c>
      <c r="F536">
        <v>308.14999999999998</v>
      </c>
      <c r="G536">
        <v>1190</v>
      </c>
      <c r="H536">
        <f t="shared" si="32"/>
        <v>-2.0409903553055835</v>
      </c>
      <c r="I536">
        <v>0.12989999999999999</v>
      </c>
      <c r="J536" t="str">
        <f t="shared" si="33"/>
        <v>CCCC[N+](CCCC)(CCCC)CCCC.[Cl-]CCCCCCCCCC(=O)O</v>
      </c>
      <c r="K536">
        <v>39</v>
      </c>
      <c r="M536">
        <f t="shared" si="34"/>
        <v>-0.33782036633877249</v>
      </c>
      <c r="N536">
        <f t="shared" si="35"/>
        <v>4.4190824332032412E-2</v>
      </c>
    </row>
    <row r="537" spans="1:14" x14ac:dyDescent="0.35">
      <c r="A537">
        <v>535</v>
      </c>
      <c r="B537" t="s">
        <v>12</v>
      </c>
      <c r="C537" t="s">
        <v>69</v>
      </c>
      <c r="D537">
        <v>0.33333333333333331</v>
      </c>
      <c r="E537">
        <v>0.66666666666666674</v>
      </c>
      <c r="F537">
        <v>308.14999999999998</v>
      </c>
      <c r="G537">
        <v>1490</v>
      </c>
      <c r="H537">
        <f t="shared" si="32"/>
        <v>-1.8313322443478781</v>
      </c>
      <c r="I537">
        <v>0.16020000000000001</v>
      </c>
      <c r="J537" t="str">
        <f t="shared" si="33"/>
        <v>CCCC[N+](CCCC)(CCCC)CCCC.[Cl-]CCCCCCCCCC(=O)O</v>
      </c>
      <c r="K537">
        <v>39</v>
      </c>
      <c r="M537">
        <f t="shared" si="34"/>
        <v>-0.33782036633877249</v>
      </c>
      <c r="N537">
        <f t="shared" si="35"/>
        <v>0.21197647154531757</v>
      </c>
    </row>
    <row r="538" spans="1:14" x14ac:dyDescent="0.35">
      <c r="A538">
        <v>536</v>
      </c>
      <c r="B538" t="s">
        <v>12</v>
      </c>
      <c r="C538" t="s">
        <v>69</v>
      </c>
      <c r="D538">
        <v>0.33333333333333331</v>
      </c>
      <c r="E538">
        <v>0.66666666666666674</v>
      </c>
      <c r="F538">
        <v>308.14999999999998</v>
      </c>
      <c r="G538">
        <v>1790</v>
      </c>
      <c r="H538">
        <f t="shared" si="32"/>
        <v>-1.66442222076686</v>
      </c>
      <c r="I538">
        <v>0.1893</v>
      </c>
      <c r="J538" t="str">
        <f t="shared" si="33"/>
        <v>CCCC[N+](CCCC)(CCCC)CCCC.[Cl-]CCCCCCCCCC(=O)O</v>
      </c>
      <c r="K538">
        <v>39</v>
      </c>
      <c r="M538">
        <f t="shared" si="34"/>
        <v>-0.33782036633877249</v>
      </c>
      <c r="N538">
        <f t="shared" si="35"/>
        <v>0.37976211875860272</v>
      </c>
    </row>
    <row r="539" spans="1:14" x14ac:dyDescent="0.35">
      <c r="A539">
        <v>537</v>
      </c>
      <c r="B539" t="s">
        <v>12</v>
      </c>
      <c r="C539" t="s">
        <v>69</v>
      </c>
      <c r="D539">
        <v>0.33333333333333331</v>
      </c>
      <c r="E539">
        <v>0.66666666666666674</v>
      </c>
      <c r="F539">
        <v>308.14999999999998</v>
      </c>
      <c r="G539">
        <v>1990</v>
      </c>
      <c r="H539">
        <f t="shared" si="32"/>
        <v>-1.57117920031701</v>
      </c>
      <c r="I539">
        <v>0.20780000000000001</v>
      </c>
      <c r="J539" t="str">
        <f t="shared" si="33"/>
        <v>CCCC[N+](CCCC)(CCCC)CCCC.[Cl-]CCCCCCCCCC(=O)O</v>
      </c>
      <c r="K539">
        <v>39</v>
      </c>
      <c r="M539">
        <f t="shared" si="34"/>
        <v>-0.33782036633877249</v>
      </c>
      <c r="N539">
        <f t="shared" si="35"/>
        <v>0.49161921690079285</v>
      </c>
    </row>
    <row r="540" spans="1:14" x14ac:dyDescent="0.35">
      <c r="A540">
        <v>538</v>
      </c>
      <c r="B540" t="s">
        <v>12</v>
      </c>
      <c r="C540" t="s">
        <v>69</v>
      </c>
      <c r="D540">
        <v>0.33333333333333331</v>
      </c>
      <c r="E540">
        <v>0.66666666666666674</v>
      </c>
      <c r="F540">
        <v>323.14999999999998</v>
      </c>
      <c r="G540">
        <v>90</v>
      </c>
      <c r="H540">
        <f t="shared" si="32"/>
        <v>-4.76</v>
      </c>
      <c r="I540">
        <v>8.5656093974980606E-3</v>
      </c>
      <c r="J540" t="str">
        <f t="shared" si="33"/>
        <v>CCCC[N+](CCCC)(CCCC)CCCC.[Cl-]CCCCCCCCCC(=O)O</v>
      </c>
      <c r="K540">
        <v>39</v>
      </c>
      <c r="M540">
        <f t="shared" si="34"/>
        <v>0.83775464848239545</v>
      </c>
      <c r="N540">
        <f t="shared" si="35"/>
        <v>-0.57102321545001322</v>
      </c>
    </row>
    <row r="541" spans="1:14" x14ac:dyDescent="0.35">
      <c r="A541">
        <v>539</v>
      </c>
      <c r="B541" t="s">
        <v>12</v>
      </c>
      <c r="C541" t="s">
        <v>69</v>
      </c>
      <c r="D541">
        <v>0.33333333333333331</v>
      </c>
      <c r="E541">
        <v>0.66666666666666674</v>
      </c>
      <c r="F541">
        <v>323.14999999999998</v>
      </c>
      <c r="G541">
        <v>190</v>
      </c>
      <c r="H541">
        <f t="shared" si="32"/>
        <v>-4.03</v>
      </c>
      <c r="I541">
        <v>1.7774329953659442E-2</v>
      </c>
      <c r="J541" t="str">
        <f t="shared" si="33"/>
        <v>CCCC[N+](CCCC)(CCCC)CCCC.[Cl-]CCCCCCCCCC(=O)O</v>
      </c>
      <c r="K541">
        <v>39</v>
      </c>
      <c r="M541">
        <f t="shared" si="34"/>
        <v>0.83775464848239545</v>
      </c>
      <c r="N541">
        <f t="shared" si="35"/>
        <v>-0.5150946663789181</v>
      </c>
    </row>
    <row r="542" spans="1:14" x14ac:dyDescent="0.35">
      <c r="A542">
        <v>540</v>
      </c>
      <c r="B542" t="s">
        <v>12</v>
      </c>
      <c r="C542" t="s">
        <v>69</v>
      </c>
      <c r="D542">
        <v>0.33333333333333331</v>
      </c>
      <c r="E542">
        <v>0.66666666666666674</v>
      </c>
      <c r="F542">
        <v>323.14999999999998</v>
      </c>
      <c r="G542">
        <v>290</v>
      </c>
      <c r="H542">
        <f t="shared" si="32"/>
        <v>-3.61</v>
      </c>
      <c r="I542">
        <v>2.7051846866350416E-2</v>
      </c>
      <c r="J542" t="str">
        <f t="shared" si="33"/>
        <v>CCCC[N+](CCCC)(CCCC)CCCC.[Cl-]CCCCCCCCCC(=O)O</v>
      </c>
      <c r="K542">
        <v>39</v>
      </c>
      <c r="M542">
        <f t="shared" si="34"/>
        <v>0.83775464848239545</v>
      </c>
      <c r="N542">
        <f t="shared" si="35"/>
        <v>-0.45916611730782309</v>
      </c>
    </row>
    <row r="543" spans="1:14" x14ac:dyDescent="0.35">
      <c r="A543">
        <v>541</v>
      </c>
      <c r="B543" t="s">
        <v>12</v>
      </c>
      <c r="C543" t="s">
        <v>69</v>
      </c>
      <c r="D543">
        <v>0.33333333333333331</v>
      </c>
      <c r="E543">
        <v>0.66666666666666674</v>
      </c>
      <c r="F543">
        <v>323.14999999999998</v>
      </c>
      <c r="G543">
        <v>390</v>
      </c>
      <c r="H543">
        <f t="shared" si="32"/>
        <v>-3.31</v>
      </c>
      <c r="I543">
        <v>3.6516173753740402E-2</v>
      </c>
      <c r="J543" t="str">
        <f t="shared" si="33"/>
        <v>CCCC[N+](CCCC)(CCCC)CCCC.[Cl-]CCCCCCCCCC(=O)O</v>
      </c>
      <c r="K543">
        <v>39</v>
      </c>
      <c r="M543">
        <f t="shared" si="34"/>
        <v>0.83775464848239545</v>
      </c>
      <c r="N543">
        <f t="shared" si="35"/>
        <v>-0.40323756823672802</v>
      </c>
    </row>
    <row r="544" spans="1:14" x14ac:dyDescent="0.35">
      <c r="A544">
        <v>542</v>
      </c>
      <c r="B544" t="s">
        <v>12</v>
      </c>
      <c r="C544" t="s">
        <v>69</v>
      </c>
      <c r="D544">
        <v>0.33333333333333331</v>
      </c>
      <c r="E544">
        <v>0.66666666666666674</v>
      </c>
      <c r="F544">
        <v>323.14999999999998</v>
      </c>
      <c r="G544">
        <v>490</v>
      </c>
      <c r="H544">
        <f t="shared" si="32"/>
        <v>-3.0834711878619978</v>
      </c>
      <c r="I544">
        <v>4.58E-2</v>
      </c>
      <c r="J544" t="str">
        <f t="shared" si="33"/>
        <v>CCCC[N+](CCCC)(CCCC)CCCC.[Cl-]CCCCCCCCCC(=O)O</v>
      </c>
      <c r="K544">
        <v>39</v>
      </c>
      <c r="M544">
        <f t="shared" si="34"/>
        <v>0.83775464848239545</v>
      </c>
      <c r="N544">
        <f t="shared" si="35"/>
        <v>-0.34730901916563295</v>
      </c>
    </row>
    <row r="545" spans="1:14" x14ac:dyDescent="0.35">
      <c r="A545">
        <v>543</v>
      </c>
      <c r="B545" t="s">
        <v>12</v>
      </c>
      <c r="C545" t="s">
        <v>69</v>
      </c>
      <c r="D545">
        <v>0.33333333333333331</v>
      </c>
      <c r="E545">
        <v>0.66666666666666674</v>
      </c>
      <c r="F545">
        <v>323.14999999999998</v>
      </c>
      <c r="G545">
        <v>690</v>
      </c>
      <c r="H545">
        <f t="shared" si="32"/>
        <v>-2.75</v>
      </c>
      <c r="I545">
        <v>6.392786120670757E-2</v>
      </c>
      <c r="J545" t="str">
        <f t="shared" si="33"/>
        <v>CCCC[N+](CCCC)(CCCC)CCCC.[Cl-]CCCCCCCCCC(=O)O</v>
      </c>
      <c r="K545">
        <v>39</v>
      </c>
      <c r="M545">
        <f t="shared" si="34"/>
        <v>0.83775464848239545</v>
      </c>
      <c r="N545">
        <f t="shared" si="35"/>
        <v>-0.23545192102344284</v>
      </c>
    </row>
    <row r="546" spans="1:14" x14ac:dyDescent="0.35">
      <c r="A546">
        <v>544</v>
      </c>
      <c r="B546" t="s">
        <v>12</v>
      </c>
      <c r="C546" t="s">
        <v>69</v>
      </c>
      <c r="D546">
        <v>0.33333333333333331</v>
      </c>
      <c r="E546">
        <v>0.66666666666666674</v>
      </c>
      <c r="F546">
        <v>323.14999999999998</v>
      </c>
      <c r="G546">
        <v>790</v>
      </c>
      <c r="H546">
        <f t="shared" si="32"/>
        <v>-2.6255489795904663</v>
      </c>
      <c r="I546">
        <v>7.2400000000000006E-2</v>
      </c>
      <c r="J546" t="str">
        <f t="shared" si="33"/>
        <v>CCCC[N+](CCCC)(CCCC)CCCC.[Cl-]CCCCCCCCCC(=O)O</v>
      </c>
      <c r="K546">
        <v>39</v>
      </c>
      <c r="M546">
        <f t="shared" si="34"/>
        <v>0.83775464848239545</v>
      </c>
      <c r="N546">
        <f t="shared" si="35"/>
        <v>-0.1795233719523478</v>
      </c>
    </row>
    <row r="547" spans="1:14" x14ac:dyDescent="0.35">
      <c r="A547">
        <v>545</v>
      </c>
      <c r="B547" t="s">
        <v>12</v>
      </c>
      <c r="C547" t="s">
        <v>69</v>
      </c>
      <c r="D547">
        <v>0.33333333333333331</v>
      </c>
      <c r="E547">
        <v>0.66666666666666674</v>
      </c>
      <c r="F547">
        <v>323.14999999999998</v>
      </c>
      <c r="G547">
        <v>990</v>
      </c>
      <c r="H547">
        <f t="shared" si="32"/>
        <v>-2.406835114367845</v>
      </c>
      <c r="I547">
        <v>9.01E-2</v>
      </c>
      <c r="J547" t="str">
        <f t="shared" si="33"/>
        <v>CCCC[N+](CCCC)(CCCC)CCCC.[Cl-]CCCCCCCCCC(=O)O</v>
      </c>
      <c r="K547">
        <v>39</v>
      </c>
      <c r="M547">
        <f t="shared" si="34"/>
        <v>0.83775464848239545</v>
      </c>
      <c r="N547">
        <f t="shared" si="35"/>
        <v>-6.766627381015769E-2</v>
      </c>
    </row>
    <row r="548" spans="1:14" x14ac:dyDescent="0.35">
      <c r="A548">
        <v>546</v>
      </c>
      <c r="B548" t="s">
        <v>12</v>
      </c>
      <c r="C548" t="s">
        <v>69</v>
      </c>
      <c r="D548">
        <v>0.33333333333333331</v>
      </c>
      <c r="E548">
        <v>0.66666666666666674</v>
      </c>
      <c r="F548">
        <v>323.14999999999998</v>
      </c>
      <c r="G548">
        <v>1190</v>
      </c>
      <c r="H548">
        <f t="shared" si="32"/>
        <v>-2.2293346312544529</v>
      </c>
      <c r="I548">
        <v>0.1076</v>
      </c>
      <c r="J548" t="str">
        <f t="shared" si="33"/>
        <v>CCCC[N+](CCCC)(CCCC)CCCC.[Cl-]CCCCCCCCCC(=O)O</v>
      </c>
      <c r="K548">
        <v>39</v>
      </c>
      <c r="M548">
        <f t="shared" si="34"/>
        <v>0.83775464848239545</v>
      </c>
      <c r="N548">
        <f t="shared" si="35"/>
        <v>4.4190824332032412E-2</v>
      </c>
    </row>
    <row r="549" spans="1:14" x14ac:dyDescent="0.35">
      <c r="A549">
        <v>547</v>
      </c>
      <c r="B549" t="s">
        <v>12</v>
      </c>
      <c r="C549" t="s">
        <v>69</v>
      </c>
      <c r="D549">
        <v>0.33333333333333331</v>
      </c>
      <c r="E549">
        <v>0.66666666666666674</v>
      </c>
      <c r="F549">
        <v>323.14999999999998</v>
      </c>
      <c r="G549">
        <v>1490</v>
      </c>
      <c r="H549">
        <f t="shared" si="32"/>
        <v>-2.0219276354792295</v>
      </c>
      <c r="I549">
        <v>0.13239999999999999</v>
      </c>
      <c r="J549" t="str">
        <f t="shared" si="33"/>
        <v>CCCC[N+](CCCC)(CCCC)CCCC.[Cl-]CCCCCCCCCC(=O)O</v>
      </c>
      <c r="K549">
        <v>39</v>
      </c>
      <c r="M549">
        <f t="shared" si="34"/>
        <v>0.83775464848239545</v>
      </c>
      <c r="N549">
        <f t="shared" si="35"/>
        <v>0.21197647154531757</v>
      </c>
    </row>
    <row r="550" spans="1:14" x14ac:dyDescent="0.35">
      <c r="A550">
        <v>548</v>
      </c>
      <c r="B550" t="s">
        <v>12</v>
      </c>
      <c r="C550" t="s">
        <v>69</v>
      </c>
      <c r="D550">
        <v>0.33333333333333331</v>
      </c>
      <c r="E550">
        <v>0.66666666666666674</v>
      </c>
      <c r="F550">
        <v>323.14999999999998</v>
      </c>
      <c r="G550">
        <v>1790</v>
      </c>
      <c r="H550">
        <f t="shared" si="32"/>
        <v>-1.8578992717325999</v>
      </c>
      <c r="I550">
        <v>0.156</v>
      </c>
      <c r="J550" t="str">
        <f t="shared" si="33"/>
        <v>CCCC[N+](CCCC)(CCCC)CCCC.[Cl-]CCCCCCCCCC(=O)O</v>
      </c>
      <c r="K550">
        <v>39</v>
      </c>
      <c r="M550">
        <f t="shared" si="34"/>
        <v>0.83775464848239545</v>
      </c>
      <c r="N550">
        <f t="shared" si="35"/>
        <v>0.37976211875860272</v>
      </c>
    </row>
    <row r="551" spans="1:14" x14ac:dyDescent="0.35">
      <c r="A551">
        <v>549</v>
      </c>
      <c r="B551" t="s">
        <v>12</v>
      </c>
      <c r="C551" t="s">
        <v>69</v>
      </c>
      <c r="D551">
        <v>0.33333333333333331</v>
      </c>
      <c r="E551">
        <v>0.66666666666666674</v>
      </c>
      <c r="F551">
        <v>323.14999999999998</v>
      </c>
      <c r="G551">
        <v>1990</v>
      </c>
      <c r="H551">
        <f t="shared" si="32"/>
        <v>-1.7625890919282752</v>
      </c>
      <c r="I551">
        <v>0.1716</v>
      </c>
      <c r="J551" t="str">
        <f t="shared" si="33"/>
        <v>CCCC[N+](CCCC)(CCCC)CCCC.[Cl-]CCCCCCCCCC(=O)O</v>
      </c>
      <c r="K551">
        <v>39</v>
      </c>
      <c r="M551">
        <f t="shared" si="34"/>
        <v>0.83775464848239545</v>
      </c>
      <c r="N551">
        <f t="shared" si="35"/>
        <v>0.49161921690079285</v>
      </c>
    </row>
    <row r="552" spans="1:14" x14ac:dyDescent="0.35">
      <c r="A552">
        <v>550</v>
      </c>
      <c r="B552" t="s">
        <v>21</v>
      </c>
      <c r="C552" t="s">
        <v>69</v>
      </c>
      <c r="D552">
        <v>0.33333333333333331</v>
      </c>
      <c r="E552">
        <v>0.66666666666666674</v>
      </c>
      <c r="F552">
        <v>298.14999999999998</v>
      </c>
      <c r="G552">
        <v>90</v>
      </c>
      <c r="H552">
        <f t="shared" si="32"/>
        <v>-4.32</v>
      </c>
      <c r="I552">
        <v>1.3299883542443767E-2</v>
      </c>
      <c r="J552" t="str">
        <f t="shared" si="33"/>
        <v>CCCCCCCC[N+](C)(CCCCCCCC)CCCCCCCC.[Cl-]CCCCCCCCCC(=O)O</v>
      </c>
      <c r="K552">
        <v>21</v>
      </c>
      <c r="M552">
        <f t="shared" si="34"/>
        <v>-1.1215370428862177</v>
      </c>
      <c r="N552">
        <f t="shared" si="35"/>
        <v>-0.57102321545001322</v>
      </c>
    </row>
    <row r="553" spans="1:14" x14ac:dyDescent="0.35">
      <c r="A553">
        <v>551</v>
      </c>
      <c r="B553" t="s">
        <v>21</v>
      </c>
      <c r="C553" t="s">
        <v>69</v>
      </c>
      <c r="D553">
        <v>0.33333333333333331</v>
      </c>
      <c r="E553">
        <v>0.66666666666666674</v>
      </c>
      <c r="F553">
        <v>298.14999999999998</v>
      </c>
      <c r="G553">
        <v>190</v>
      </c>
      <c r="H553">
        <f t="shared" si="32"/>
        <v>-3.54</v>
      </c>
      <c r="I553">
        <v>2.9013327082197053E-2</v>
      </c>
      <c r="J553" t="str">
        <f t="shared" si="33"/>
        <v>CCCCCCCC[N+](C)(CCCCCCCC)CCCCCCCC.[Cl-]CCCCCCCCCC(=O)O</v>
      </c>
      <c r="K553">
        <v>21</v>
      </c>
      <c r="M553">
        <f t="shared" si="34"/>
        <v>-1.1215370428862177</v>
      </c>
      <c r="N553">
        <f t="shared" si="35"/>
        <v>-0.5150946663789181</v>
      </c>
    </row>
    <row r="554" spans="1:14" x14ac:dyDescent="0.35">
      <c r="A554">
        <v>552</v>
      </c>
      <c r="B554" t="s">
        <v>21</v>
      </c>
      <c r="C554" t="s">
        <v>69</v>
      </c>
      <c r="D554">
        <v>0.33333333333333331</v>
      </c>
      <c r="E554">
        <v>0.66666666666666674</v>
      </c>
      <c r="F554">
        <v>298.14999999999998</v>
      </c>
      <c r="G554">
        <v>290</v>
      </c>
      <c r="H554">
        <f t="shared" si="32"/>
        <v>-3.19</v>
      </c>
      <c r="I554">
        <v>4.117187093906774E-2</v>
      </c>
      <c r="J554" t="str">
        <f t="shared" si="33"/>
        <v>CCCCCCCC[N+](C)(CCCCCCCC)CCCCCCCC.[Cl-]CCCCCCCCCC(=O)O</v>
      </c>
      <c r="K554">
        <v>21</v>
      </c>
      <c r="M554">
        <f t="shared" si="34"/>
        <v>-1.1215370428862177</v>
      </c>
      <c r="N554">
        <f t="shared" si="35"/>
        <v>-0.45916611730782309</v>
      </c>
    </row>
    <row r="555" spans="1:14" x14ac:dyDescent="0.35">
      <c r="A555">
        <v>553</v>
      </c>
      <c r="B555" t="s">
        <v>21</v>
      </c>
      <c r="C555" t="s">
        <v>69</v>
      </c>
      <c r="D555">
        <v>0.33333333333333331</v>
      </c>
      <c r="E555">
        <v>0.66666666666666674</v>
      </c>
      <c r="F555">
        <v>298.14999999999998</v>
      </c>
      <c r="G555">
        <v>390</v>
      </c>
      <c r="H555">
        <f t="shared" si="32"/>
        <v>-2.88</v>
      </c>
      <c r="I555">
        <v>5.6134762834133725E-2</v>
      </c>
      <c r="J555" t="str">
        <f t="shared" si="33"/>
        <v>CCCCCCCC[N+](C)(CCCCCCCC)CCCCCCCC.[Cl-]CCCCCCCCCC(=O)O</v>
      </c>
      <c r="K555">
        <v>21</v>
      </c>
      <c r="M555">
        <f t="shared" si="34"/>
        <v>-1.1215370428862177</v>
      </c>
      <c r="N555">
        <f t="shared" si="35"/>
        <v>-0.40323756823672802</v>
      </c>
    </row>
    <row r="556" spans="1:14" x14ac:dyDescent="0.35">
      <c r="A556">
        <v>554</v>
      </c>
      <c r="B556" t="s">
        <v>21</v>
      </c>
      <c r="C556" t="s">
        <v>69</v>
      </c>
      <c r="D556">
        <v>0.33333333333333331</v>
      </c>
      <c r="E556">
        <v>0.66666666666666674</v>
      </c>
      <c r="F556">
        <v>298.14999999999998</v>
      </c>
      <c r="G556">
        <v>490</v>
      </c>
      <c r="H556">
        <f t="shared" si="32"/>
        <v>-2.6722005482085129</v>
      </c>
      <c r="I556">
        <v>6.9099999999999995E-2</v>
      </c>
      <c r="J556" t="str">
        <f t="shared" si="33"/>
        <v>CCCCCCCC[N+](C)(CCCCCCCC)CCCCCCCC.[Cl-]CCCCCCCCCC(=O)O</v>
      </c>
      <c r="K556">
        <v>21</v>
      </c>
      <c r="M556">
        <f t="shared" si="34"/>
        <v>-1.1215370428862177</v>
      </c>
      <c r="N556">
        <f t="shared" si="35"/>
        <v>-0.34730901916563295</v>
      </c>
    </row>
    <row r="557" spans="1:14" x14ac:dyDescent="0.35">
      <c r="A557">
        <v>555</v>
      </c>
      <c r="B557" t="s">
        <v>21</v>
      </c>
      <c r="C557" t="s">
        <v>69</v>
      </c>
      <c r="D557">
        <v>0.33333333333333331</v>
      </c>
      <c r="E557">
        <v>0.66666666666666674</v>
      </c>
      <c r="F557">
        <v>298.14999999999998</v>
      </c>
      <c r="G557">
        <v>790</v>
      </c>
      <c r="H557">
        <f t="shared" si="32"/>
        <v>-2.2118307297255817</v>
      </c>
      <c r="I557">
        <v>0.1095</v>
      </c>
      <c r="J557" t="str">
        <f t="shared" si="33"/>
        <v>CCCCCCCC[N+](C)(CCCCCCCC)CCCCCCCC.[Cl-]CCCCCCCCCC(=O)O</v>
      </c>
      <c r="K557">
        <v>21</v>
      </c>
      <c r="M557">
        <f t="shared" si="34"/>
        <v>-1.1215370428862177</v>
      </c>
      <c r="N557">
        <f t="shared" si="35"/>
        <v>-0.1795233719523478</v>
      </c>
    </row>
    <row r="558" spans="1:14" x14ac:dyDescent="0.35">
      <c r="A558">
        <v>556</v>
      </c>
      <c r="B558" t="s">
        <v>21</v>
      </c>
      <c r="C558" t="s">
        <v>69</v>
      </c>
      <c r="D558">
        <v>0.33333333333333331</v>
      </c>
      <c r="E558">
        <v>0.66666666666666674</v>
      </c>
      <c r="F558">
        <v>298.14999999999998</v>
      </c>
      <c r="G558">
        <v>990</v>
      </c>
      <c r="H558">
        <f t="shared" si="32"/>
        <v>-2.0039630805039303</v>
      </c>
      <c r="I558">
        <v>0.1348</v>
      </c>
      <c r="J558" t="str">
        <f t="shared" si="33"/>
        <v>CCCCCCCC[N+](C)(CCCCCCCC)CCCCCCCC.[Cl-]CCCCCCCCCC(=O)O</v>
      </c>
      <c r="K558">
        <v>21</v>
      </c>
      <c r="M558">
        <f t="shared" si="34"/>
        <v>-1.1215370428862177</v>
      </c>
      <c r="N558">
        <f t="shared" si="35"/>
        <v>-6.766627381015769E-2</v>
      </c>
    </row>
    <row r="559" spans="1:14" x14ac:dyDescent="0.35">
      <c r="A559">
        <v>557</v>
      </c>
      <c r="B559" t="s">
        <v>21</v>
      </c>
      <c r="C559" t="s">
        <v>69</v>
      </c>
      <c r="D559">
        <v>0.33333333333333331</v>
      </c>
      <c r="E559">
        <v>0.66666666666666674</v>
      </c>
      <c r="F559">
        <v>298.14999999999998</v>
      </c>
      <c r="G559">
        <v>1490</v>
      </c>
      <c r="H559">
        <f t="shared" si="32"/>
        <v>-1.6342430313530716</v>
      </c>
      <c r="I559">
        <v>0.1951</v>
      </c>
      <c r="J559" t="str">
        <f t="shared" si="33"/>
        <v>CCCCCCCC[N+](C)(CCCCCCCC)CCCCCCCC.[Cl-]CCCCCCCCCC(=O)O</v>
      </c>
      <c r="K559">
        <v>21</v>
      </c>
      <c r="M559">
        <f t="shared" si="34"/>
        <v>-1.1215370428862177</v>
      </c>
      <c r="N559">
        <f t="shared" si="35"/>
        <v>0.21197647154531757</v>
      </c>
    </row>
    <row r="560" spans="1:14" x14ac:dyDescent="0.35">
      <c r="A560">
        <v>558</v>
      </c>
      <c r="B560" t="s">
        <v>21</v>
      </c>
      <c r="C560" t="s">
        <v>69</v>
      </c>
      <c r="D560">
        <v>0.33333333333333331</v>
      </c>
      <c r="E560">
        <v>0.66666666666666674</v>
      </c>
      <c r="F560">
        <v>298.14999999999998</v>
      </c>
      <c r="G560">
        <v>1990</v>
      </c>
      <c r="H560">
        <f t="shared" si="32"/>
        <v>-1.3771364233351249</v>
      </c>
      <c r="I560">
        <v>0.25230000000000002</v>
      </c>
      <c r="J560" t="str">
        <f t="shared" si="33"/>
        <v>CCCCCCCC[N+](C)(CCCCCCCC)CCCCCCCC.[Cl-]CCCCCCCCCC(=O)O</v>
      </c>
      <c r="K560">
        <v>21</v>
      </c>
      <c r="M560">
        <f t="shared" si="34"/>
        <v>-1.1215370428862177</v>
      </c>
      <c r="N560">
        <f t="shared" si="35"/>
        <v>0.49161921690079285</v>
      </c>
    </row>
    <row r="561" spans="1:14" x14ac:dyDescent="0.35">
      <c r="A561">
        <v>559</v>
      </c>
      <c r="B561" t="s">
        <v>21</v>
      </c>
      <c r="C561" t="s">
        <v>69</v>
      </c>
      <c r="D561">
        <v>0.33333333333333331</v>
      </c>
      <c r="E561">
        <v>0.66666666666666674</v>
      </c>
      <c r="F561">
        <v>308.14999999999998</v>
      </c>
      <c r="G561">
        <v>90</v>
      </c>
      <c r="H561">
        <f t="shared" si="32"/>
        <v>-4.49</v>
      </c>
      <c r="I561">
        <v>1.1220643809589084E-2</v>
      </c>
      <c r="J561" t="str">
        <f t="shared" si="33"/>
        <v>CCCCCCCC[N+](C)(CCCCCCCC)CCCCCCCC.[Cl-]CCCCCCCCCC(=O)O</v>
      </c>
      <c r="K561">
        <v>21</v>
      </c>
      <c r="M561">
        <f t="shared" si="34"/>
        <v>-0.33782036633877249</v>
      </c>
      <c r="N561">
        <f t="shared" si="35"/>
        <v>-0.57102321545001322</v>
      </c>
    </row>
    <row r="562" spans="1:14" x14ac:dyDescent="0.35">
      <c r="A562">
        <v>560</v>
      </c>
      <c r="B562" t="s">
        <v>21</v>
      </c>
      <c r="C562" t="s">
        <v>69</v>
      </c>
      <c r="D562">
        <v>0.33333333333333331</v>
      </c>
      <c r="E562">
        <v>0.66666666666666674</v>
      </c>
      <c r="F562">
        <v>308.14999999999998</v>
      </c>
      <c r="G562">
        <v>190</v>
      </c>
      <c r="H562">
        <f t="shared" si="32"/>
        <v>-3.7338768200446721</v>
      </c>
      <c r="I562">
        <v>2.3900000000000001E-2</v>
      </c>
      <c r="J562" t="str">
        <f t="shared" si="33"/>
        <v>CCCCCCCC[N+](C)(CCCCCCCC)CCCCCCCC.[Cl-]CCCCCCCCCC(=O)O</v>
      </c>
      <c r="K562">
        <v>21</v>
      </c>
      <c r="M562">
        <f t="shared" si="34"/>
        <v>-0.33782036633877249</v>
      </c>
      <c r="N562">
        <f t="shared" si="35"/>
        <v>-0.5150946663789181</v>
      </c>
    </row>
    <row r="563" spans="1:14" x14ac:dyDescent="0.35">
      <c r="A563">
        <v>561</v>
      </c>
      <c r="B563" t="s">
        <v>21</v>
      </c>
      <c r="C563" t="s">
        <v>69</v>
      </c>
      <c r="D563">
        <v>0.33333333333333331</v>
      </c>
      <c r="E563">
        <v>0.66666666666666674</v>
      </c>
      <c r="F563">
        <v>308.14999999999998</v>
      </c>
      <c r="G563">
        <v>290</v>
      </c>
      <c r="H563">
        <f t="shared" si="32"/>
        <v>-3.3214624136433017</v>
      </c>
      <c r="I563">
        <v>3.61E-2</v>
      </c>
      <c r="J563" t="str">
        <f t="shared" si="33"/>
        <v>CCCCCCCC[N+](C)(CCCCCCCC)CCCCCCCC.[Cl-]CCCCCCCCCC(=O)O</v>
      </c>
      <c r="K563">
        <v>21</v>
      </c>
      <c r="M563">
        <f t="shared" si="34"/>
        <v>-0.33782036633877249</v>
      </c>
      <c r="N563">
        <f t="shared" si="35"/>
        <v>-0.45916611730782309</v>
      </c>
    </row>
    <row r="564" spans="1:14" x14ac:dyDescent="0.35">
      <c r="A564">
        <v>562</v>
      </c>
      <c r="B564" t="s">
        <v>21</v>
      </c>
      <c r="C564" t="s">
        <v>69</v>
      </c>
      <c r="D564">
        <v>0.33333333333333331</v>
      </c>
      <c r="E564">
        <v>0.66666666666666674</v>
      </c>
      <c r="F564">
        <v>308.14999999999998</v>
      </c>
      <c r="G564">
        <v>390</v>
      </c>
      <c r="H564">
        <f t="shared" si="32"/>
        <v>-3.0449225177447627</v>
      </c>
      <c r="I564">
        <v>4.7600000000000003E-2</v>
      </c>
      <c r="J564" t="str">
        <f t="shared" si="33"/>
        <v>CCCCCCCC[N+](C)(CCCCCCCC)CCCCCCCC.[Cl-]CCCCCCCCCC(=O)O</v>
      </c>
      <c r="K564">
        <v>21</v>
      </c>
      <c r="M564">
        <f t="shared" si="34"/>
        <v>-0.33782036633877249</v>
      </c>
      <c r="N564">
        <f t="shared" si="35"/>
        <v>-0.40323756823672802</v>
      </c>
    </row>
    <row r="565" spans="1:14" x14ac:dyDescent="0.35">
      <c r="A565">
        <v>563</v>
      </c>
      <c r="B565" t="s">
        <v>21</v>
      </c>
      <c r="C565" t="s">
        <v>69</v>
      </c>
      <c r="D565">
        <v>0.33333333333333331</v>
      </c>
      <c r="E565">
        <v>0.66666666666666674</v>
      </c>
      <c r="F565">
        <v>308.14999999999998</v>
      </c>
      <c r="G565">
        <v>490</v>
      </c>
      <c r="H565">
        <f t="shared" si="32"/>
        <v>-2.82</v>
      </c>
      <c r="I565">
        <v>5.9605942708939368E-2</v>
      </c>
      <c r="J565" t="str">
        <f t="shared" si="33"/>
        <v>CCCCCCCC[N+](C)(CCCCCCCC)CCCCCCCC.[Cl-]CCCCCCCCCC(=O)O</v>
      </c>
      <c r="K565">
        <v>21</v>
      </c>
      <c r="M565">
        <f t="shared" si="34"/>
        <v>-0.33782036633877249</v>
      </c>
      <c r="N565">
        <f t="shared" si="35"/>
        <v>-0.34730901916563295</v>
      </c>
    </row>
    <row r="566" spans="1:14" x14ac:dyDescent="0.35">
      <c r="A566">
        <v>564</v>
      </c>
      <c r="B566" t="s">
        <v>21</v>
      </c>
      <c r="C566" t="s">
        <v>69</v>
      </c>
      <c r="D566">
        <v>0.33333333333333331</v>
      </c>
      <c r="E566">
        <v>0.66666666666666674</v>
      </c>
      <c r="F566">
        <v>308.14999999999998</v>
      </c>
      <c r="G566">
        <v>790</v>
      </c>
      <c r="H566">
        <f t="shared" si="32"/>
        <v>-2.3434070875143007</v>
      </c>
      <c r="I566">
        <v>9.6000000000000002E-2</v>
      </c>
      <c r="J566" t="str">
        <f t="shared" si="33"/>
        <v>CCCCCCCC[N+](C)(CCCCCCCC)CCCCCCCC.[Cl-]CCCCCCCCCC(=O)O</v>
      </c>
      <c r="K566">
        <v>21</v>
      </c>
      <c r="M566">
        <f t="shared" si="34"/>
        <v>-0.33782036633877249</v>
      </c>
      <c r="N566">
        <f t="shared" si="35"/>
        <v>-0.1795233719523478</v>
      </c>
    </row>
    <row r="567" spans="1:14" x14ac:dyDescent="0.35">
      <c r="A567">
        <v>565</v>
      </c>
      <c r="B567" t="s">
        <v>21</v>
      </c>
      <c r="C567" t="s">
        <v>69</v>
      </c>
      <c r="D567">
        <v>0.33333333333333331</v>
      </c>
      <c r="E567">
        <v>0.66666666666666674</v>
      </c>
      <c r="F567">
        <v>308.14999999999998</v>
      </c>
      <c r="G567">
        <v>990</v>
      </c>
      <c r="H567">
        <f t="shared" si="32"/>
        <v>-2.1370706545164722</v>
      </c>
      <c r="I567">
        <v>0.11799999999999999</v>
      </c>
      <c r="J567" t="str">
        <f t="shared" si="33"/>
        <v>CCCCCCCC[N+](C)(CCCCCCCC)CCCCCCCC.[Cl-]CCCCCCCCCC(=O)O</v>
      </c>
      <c r="K567">
        <v>21</v>
      </c>
      <c r="M567">
        <f t="shared" si="34"/>
        <v>-0.33782036633877249</v>
      </c>
      <c r="N567">
        <f t="shared" si="35"/>
        <v>-6.766627381015769E-2</v>
      </c>
    </row>
    <row r="568" spans="1:14" x14ac:dyDescent="0.35">
      <c r="A568">
        <v>566</v>
      </c>
      <c r="B568" t="s">
        <v>21</v>
      </c>
      <c r="C568" t="s">
        <v>69</v>
      </c>
      <c r="D568">
        <v>0.33333333333333331</v>
      </c>
      <c r="E568">
        <v>0.66666666666666674</v>
      </c>
      <c r="F568">
        <v>308.14999999999998</v>
      </c>
      <c r="G568">
        <v>1490</v>
      </c>
      <c r="H568">
        <f t="shared" si="32"/>
        <v>-1.7596795757646433</v>
      </c>
      <c r="I568">
        <v>0.1721</v>
      </c>
      <c r="J568" t="str">
        <f t="shared" si="33"/>
        <v>CCCCCCCC[N+](C)(CCCCCCCC)CCCCCCCC.[Cl-]CCCCCCCCCC(=O)O</v>
      </c>
      <c r="K568">
        <v>21</v>
      </c>
      <c r="M568">
        <f t="shared" si="34"/>
        <v>-0.33782036633877249</v>
      </c>
      <c r="N568">
        <f t="shared" si="35"/>
        <v>0.21197647154531757</v>
      </c>
    </row>
    <row r="569" spans="1:14" x14ac:dyDescent="0.35">
      <c r="A569">
        <v>567</v>
      </c>
      <c r="B569" t="s">
        <v>21</v>
      </c>
      <c r="C569" t="s">
        <v>69</v>
      </c>
      <c r="D569">
        <v>0.33333333333333331</v>
      </c>
      <c r="E569">
        <v>0.66666666666666674</v>
      </c>
      <c r="F569">
        <v>308.14999999999998</v>
      </c>
      <c r="G569">
        <v>1990</v>
      </c>
      <c r="H569">
        <f t="shared" si="32"/>
        <v>-1.5046275480817553</v>
      </c>
      <c r="I569">
        <v>0.22209999999999999</v>
      </c>
      <c r="J569" t="str">
        <f t="shared" si="33"/>
        <v>CCCCCCCC[N+](C)(CCCCCCCC)CCCCCCCC.[Cl-]CCCCCCCCCC(=O)O</v>
      </c>
      <c r="K569">
        <v>21</v>
      </c>
      <c r="M569">
        <f t="shared" si="34"/>
        <v>-0.33782036633877249</v>
      </c>
      <c r="N569">
        <f t="shared" si="35"/>
        <v>0.49161921690079285</v>
      </c>
    </row>
    <row r="570" spans="1:14" x14ac:dyDescent="0.35">
      <c r="A570">
        <v>568</v>
      </c>
      <c r="B570" t="s">
        <v>20</v>
      </c>
      <c r="C570" t="s">
        <v>44</v>
      </c>
      <c r="D570">
        <v>0.33333333333333331</v>
      </c>
      <c r="E570">
        <v>0.66666666666666674</v>
      </c>
      <c r="F570">
        <v>298.14999999999998</v>
      </c>
      <c r="G570">
        <v>90</v>
      </c>
      <c r="H570">
        <f t="shared" si="32"/>
        <v>-4.2699999999999996</v>
      </c>
      <c r="I570">
        <v>1.3981783153338308E-2</v>
      </c>
      <c r="J570" t="str">
        <f t="shared" si="33"/>
        <v>CCCCCCCC[N+](C)(CCCCCCCC)CCCCCCCC.[Br-]CCCCCCCCCC(=O)O</v>
      </c>
      <c r="K570">
        <v>20</v>
      </c>
      <c r="M570">
        <f t="shared" si="34"/>
        <v>-1.1215370428862177</v>
      </c>
      <c r="N570">
        <f t="shared" si="35"/>
        <v>-0.57102321545001322</v>
      </c>
    </row>
    <row r="571" spans="1:14" x14ac:dyDescent="0.35">
      <c r="A571">
        <v>569</v>
      </c>
      <c r="B571" t="s">
        <v>20</v>
      </c>
      <c r="C571" t="s">
        <v>44</v>
      </c>
      <c r="D571">
        <v>0.33333333333333331</v>
      </c>
      <c r="E571">
        <v>0.66666666666666674</v>
      </c>
      <c r="F571">
        <v>298.14999999999998</v>
      </c>
      <c r="G571">
        <v>190</v>
      </c>
      <c r="H571">
        <f t="shared" si="32"/>
        <v>-3.59</v>
      </c>
      <c r="I571">
        <v>2.7598330423249287E-2</v>
      </c>
      <c r="J571" t="str">
        <f t="shared" si="33"/>
        <v>CCCCCCCC[N+](C)(CCCCCCCC)CCCCCCCC.[Br-]CCCCCCCCCC(=O)O</v>
      </c>
      <c r="K571">
        <v>20</v>
      </c>
      <c r="M571">
        <f t="shared" si="34"/>
        <v>-1.1215370428862177</v>
      </c>
      <c r="N571">
        <f t="shared" si="35"/>
        <v>-0.5150946663789181</v>
      </c>
    </row>
    <row r="572" spans="1:14" x14ac:dyDescent="0.35">
      <c r="A572">
        <v>570</v>
      </c>
      <c r="B572" t="s">
        <v>20</v>
      </c>
      <c r="C572" t="s">
        <v>44</v>
      </c>
      <c r="D572">
        <v>0.33333333333333331</v>
      </c>
      <c r="E572">
        <v>0.66666666666666674</v>
      </c>
      <c r="F572">
        <v>298.14999999999998</v>
      </c>
      <c r="G572">
        <v>290</v>
      </c>
      <c r="H572">
        <f t="shared" si="32"/>
        <v>-3.18689277901515</v>
      </c>
      <c r="I572">
        <v>4.1300000000000003E-2</v>
      </c>
      <c r="J572" t="str">
        <f t="shared" si="33"/>
        <v>CCCCCCCC[N+](C)(CCCCCCCC)CCCCCCCC.[Br-]CCCCCCCCCC(=O)O</v>
      </c>
      <c r="K572">
        <v>20</v>
      </c>
      <c r="M572">
        <f t="shared" si="34"/>
        <v>-1.1215370428862177</v>
      </c>
      <c r="N572">
        <f t="shared" si="35"/>
        <v>-0.45916611730782309</v>
      </c>
    </row>
    <row r="573" spans="1:14" x14ac:dyDescent="0.35">
      <c r="A573">
        <v>571</v>
      </c>
      <c r="B573" t="s">
        <v>20</v>
      </c>
      <c r="C573" t="s">
        <v>44</v>
      </c>
      <c r="D573">
        <v>0.33333333333333331</v>
      </c>
      <c r="E573">
        <v>0.66666666666666674</v>
      </c>
      <c r="F573">
        <v>298.14999999999998</v>
      </c>
      <c r="G573">
        <v>390</v>
      </c>
      <c r="H573">
        <f t="shared" si="32"/>
        <v>-2.8986055628232683</v>
      </c>
      <c r="I573">
        <v>5.5100000000000003E-2</v>
      </c>
      <c r="J573" t="str">
        <f t="shared" si="33"/>
        <v>CCCCCCCC[N+](C)(CCCCCCCC)CCCCCCCC.[Br-]CCCCCCCCCC(=O)O</v>
      </c>
      <c r="K573">
        <v>20</v>
      </c>
      <c r="M573">
        <f t="shared" si="34"/>
        <v>-1.1215370428862177</v>
      </c>
      <c r="N573">
        <f t="shared" si="35"/>
        <v>-0.40323756823672802</v>
      </c>
    </row>
    <row r="574" spans="1:14" x14ac:dyDescent="0.35">
      <c r="A574">
        <v>572</v>
      </c>
      <c r="B574" t="s">
        <v>20</v>
      </c>
      <c r="C574" t="s">
        <v>44</v>
      </c>
      <c r="D574">
        <v>0.33333333333333331</v>
      </c>
      <c r="E574">
        <v>0.66666666666666674</v>
      </c>
      <c r="F574">
        <v>298.14999999999998</v>
      </c>
      <c r="G574">
        <v>490</v>
      </c>
      <c r="H574">
        <f t="shared" si="32"/>
        <v>-2.6592600369327779</v>
      </c>
      <c r="I574">
        <v>7.0000000000000007E-2</v>
      </c>
      <c r="J574" t="str">
        <f t="shared" si="33"/>
        <v>CCCCCCCC[N+](C)(CCCCCCCC)CCCCCCCC.[Br-]CCCCCCCCCC(=O)O</v>
      </c>
      <c r="K574">
        <v>20</v>
      </c>
      <c r="M574">
        <f t="shared" si="34"/>
        <v>-1.1215370428862177</v>
      </c>
      <c r="N574">
        <f t="shared" si="35"/>
        <v>-0.34730901916563295</v>
      </c>
    </row>
    <row r="575" spans="1:14" x14ac:dyDescent="0.35">
      <c r="A575">
        <v>573</v>
      </c>
      <c r="B575" t="s">
        <v>20</v>
      </c>
      <c r="C575" t="s">
        <v>44</v>
      </c>
      <c r="D575">
        <v>0.33333333333333331</v>
      </c>
      <c r="E575">
        <v>0.66666666666666674</v>
      </c>
      <c r="F575">
        <v>298.14999999999998</v>
      </c>
      <c r="G575">
        <v>790</v>
      </c>
      <c r="H575">
        <f t="shared" si="32"/>
        <v>-2.2054583822633229</v>
      </c>
      <c r="I575">
        <v>0.11020000000000001</v>
      </c>
      <c r="J575" t="str">
        <f t="shared" si="33"/>
        <v>CCCCCCCC[N+](C)(CCCCCCCC)CCCCCCCC.[Br-]CCCCCCCCCC(=O)O</v>
      </c>
      <c r="K575">
        <v>20</v>
      </c>
      <c r="M575">
        <f t="shared" si="34"/>
        <v>-1.1215370428862177</v>
      </c>
      <c r="N575">
        <f t="shared" si="35"/>
        <v>-0.1795233719523478</v>
      </c>
    </row>
    <row r="576" spans="1:14" x14ac:dyDescent="0.35">
      <c r="A576">
        <v>574</v>
      </c>
      <c r="B576" t="s">
        <v>20</v>
      </c>
      <c r="C576" t="s">
        <v>44</v>
      </c>
      <c r="D576">
        <v>0.33333333333333331</v>
      </c>
      <c r="E576">
        <v>0.66666666666666674</v>
      </c>
      <c r="F576">
        <v>298.14999999999998</v>
      </c>
      <c r="G576">
        <v>990</v>
      </c>
      <c r="H576">
        <f t="shared" si="32"/>
        <v>-1.9936308852667251</v>
      </c>
      <c r="I576">
        <v>0.13619999999999999</v>
      </c>
      <c r="J576" t="str">
        <f t="shared" si="33"/>
        <v>CCCCCCCC[N+](C)(CCCCCCCC)CCCCCCCC.[Br-]CCCCCCCCCC(=O)O</v>
      </c>
      <c r="K576">
        <v>20</v>
      </c>
      <c r="M576">
        <f t="shared" si="34"/>
        <v>-1.1215370428862177</v>
      </c>
      <c r="N576">
        <f t="shared" si="35"/>
        <v>-6.766627381015769E-2</v>
      </c>
    </row>
    <row r="577" spans="1:14" x14ac:dyDescent="0.35">
      <c r="A577">
        <v>575</v>
      </c>
      <c r="B577" t="s">
        <v>20</v>
      </c>
      <c r="C577" t="s">
        <v>44</v>
      </c>
      <c r="D577">
        <v>0.33333333333333331</v>
      </c>
      <c r="E577">
        <v>0.66666666666666674</v>
      </c>
      <c r="F577">
        <v>298.14999999999998</v>
      </c>
      <c r="G577">
        <v>1490</v>
      </c>
      <c r="H577">
        <f t="shared" si="32"/>
        <v>-1.62</v>
      </c>
      <c r="I577">
        <v>0.19789869908361465</v>
      </c>
      <c r="J577" t="str">
        <f t="shared" si="33"/>
        <v>CCCCCCCC[N+](C)(CCCCCCCC)CCCCCCCC.[Br-]CCCCCCCCCC(=O)O</v>
      </c>
      <c r="K577">
        <v>20</v>
      </c>
      <c r="M577">
        <f t="shared" si="34"/>
        <v>-1.1215370428862177</v>
      </c>
      <c r="N577">
        <f t="shared" si="35"/>
        <v>0.21197647154531757</v>
      </c>
    </row>
    <row r="578" spans="1:14" x14ac:dyDescent="0.35">
      <c r="A578">
        <v>576</v>
      </c>
      <c r="B578" t="s">
        <v>20</v>
      </c>
      <c r="C578" t="s">
        <v>44</v>
      </c>
      <c r="D578">
        <v>0.33333333333333331</v>
      </c>
      <c r="E578">
        <v>0.66666666666666674</v>
      </c>
      <c r="F578">
        <v>298.14999999999998</v>
      </c>
      <c r="G578">
        <v>1990</v>
      </c>
      <c r="H578">
        <f t="shared" si="32"/>
        <v>-1.359457707166331</v>
      </c>
      <c r="I578">
        <v>0.25679999999999997</v>
      </c>
      <c r="J578" t="str">
        <f t="shared" si="33"/>
        <v>CCCCCCCC[N+](C)(CCCCCCCC)CCCCCCCC.[Br-]CCCCCCCCCC(=O)O</v>
      </c>
      <c r="K578">
        <v>20</v>
      </c>
      <c r="M578">
        <f t="shared" si="34"/>
        <v>-1.1215370428862177</v>
      </c>
      <c r="N578">
        <f t="shared" si="35"/>
        <v>0.49161921690079285</v>
      </c>
    </row>
    <row r="579" spans="1:14" x14ac:dyDescent="0.35">
      <c r="A579">
        <v>577</v>
      </c>
      <c r="B579" t="s">
        <v>20</v>
      </c>
      <c r="C579" t="s">
        <v>44</v>
      </c>
      <c r="D579">
        <v>0.33333333333333331</v>
      </c>
      <c r="E579">
        <v>0.66666666666666674</v>
      </c>
      <c r="F579">
        <v>298.14999999999998</v>
      </c>
      <c r="G579">
        <v>90</v>
      </c>
      <c r="H579">
        <f t="shared" ref="H579:H642" si="36">LN(I579)</f>
        <v>-4.4145498263794414</v>
      </c>
      <c r="I579">
        <v>1.21E-2</v>
      </c>
      <c r="J579" t="str">
        <f t="shared" ref="J579:J642" si="37">_xlfn.CONCAT(B579,C579)</f>
        <v>CCCCCCCC[N+](C)(CCCCCCCC)CCCCCCCC.[Br-]CCCCCCCCCC(=O)O</v>
      </c>
      <c r="K579">
        <v>20</v>
      </c>
      <c r="M579">
        <f t="shared" ref="M579:M642" si="38">(F579-$L$3)/$L$2</f>
        <v>-1.1215370428862177</v>
      </c>
      <c r="N579">
        <f t="shared" ref="N579:N642" si="39">(G579-$L$6)/$L$5</f>
        <v>-0.57102321545001322</v>
      </c>
    </row>
    <row r="580" spans="1:14" x14ac:dyDescent="0.35">
      <c r="A580">
        <v>578</v>
      </c>
      <c r="B580" t="s">
        <v>20</v>
      </c>
      <c r="C580" t="s">
        <v>44</v>
      </c>
      <c r="D580">
        <v>0.33333333333333331</v>
      </c>
      <c r="E580">
        <v>0.66666666666666674</v>
      </c>
      <c r="F580">
        <v>308.14999999999998</v>
      </c>
      <c r="G580">
        <v>190</v>
      </c>
      <c r="H580">
        <f t="shared" si="36"/>
        <v>-3.72</v>
      </c>
      <c r="I580">
        <v>2.4233967845691113E-2</v>
      </c>
      <c r="J580" t="str">
        <f t="shared" si="37"/>
        <v>CCCCCCCC[N+](C)(CCCCCCCC)CCCCCCCC.[Br-]CCCCCCCCCC(=O)O</v>
      </c>
      <c r="K580">
        <v>20</v>
      </c>
      <c r="M580">
        <f t="shared" si="38"/>
        <v>-0.33782036633877249</v>
      </c>
      <c r="N580">
        <f t="shared" si="39"/>
        <v>-0.5150946663789181</v>
      </c>
    </row>
    <row r="581" spans="1:14" x14ac:dyDescent="0.35">
      <c r="A581">
        <v>579</v>
      </c>
      <c r="B581" t="s">
        <v>20</v>
      </c>
      <c r="C581" t="s">
        <v>44</v>
      </c>
      <c r="D581">
        <v>0.33333333333333331</v>
      </c>
      <c r="E581">
        <v>0.66666666666666674</v>
      </c>
      <c r="F581">
        <v>308.14999999999998</v>
      </c>
      <c r="G581">
        <v>290</v>
      </c>
      <c r="H581">
        <f t="shared" si="36"/>
        <v>-3.3131865043394422</v>
      </c>
      <c r="I581">
        <v>3.6400000000000002E-2</v>
      </c>
      <c r="J581" t="str">
        <f t="shared" si="37"/>
        <v>CCCCCCCC[N+](C)(CCCCCCCC)CCCCCCCC.[Br-]CCCCCCCCCC(=O)O</v>
      </c>
      <c r="K581">
        <v>20</v>
      </c>
      <c r="M581">
        <f t="shared" si="38"/>
        <v>-0.33782036633877249</v>
      </c>
      <c r="N581">
        <f t="shared" si="39"/>
        <v>-0.45916611730782309</v>
      </c>
    </row>
    <row r="582" spans="1:14" x14ac:dyDescent="0.35">
      <c r="A582">
        <v>580</v>
      </c>
      <c r="B582" t="s">
        <v>20</v>
      </c>
      <c r="C582" t="s">
        <v>44</v>
      </c>
      <c r="D582">
        <v>0.33333333333333331</v>
      </c>
      <c r="E582">
        <v>0.66666666666666674</v>
      </c>
      <c r="F582">
        <v>308.14999999999998</v>
      </c>
      <c r="G582">
        <v>390</v>
      </c>
      <c r="H582">
        <f t="shared" si="36"/>
        <v>-3.0078048547882603</v>
      </c>
      <c r="I582">
        <v>4.9399999999999999E-2</v>
      </c>
      <c r="J582" t="str">
        <f t="shared" si="37"/>
        <v>CCCCCCCC[N+](C)(CCCCCCCC)CCCCCCCC.[Br-]CCCCCCCCCC(=O)O</v>
      </c>
      <c r="K582">
        <v>20</v>
      </c>
      <c r="M582">
        <f t="shared" si="38"/>
        <v>-0.33782036633877249</v>
      </c>
      <c r="N582">
        <f t="shared" si="39"/>
        <v>-0.40323756823672802</v>
      </c>
    </row>
    <row r="583" spans="1:14" x14ac:dyDescent="0.35">
      <c r="A583">
        <v>581</v>
      </c>
      <c r="B583" t="s">
        <v>20</v>
      </c>
      <c r="C583" t="s">
        <v>44</v>
      </c>
      <c r="D583">
        <v>0.33333333333333331</v>
      </c>
      <c r="E583">
        <v>0.66666666666666674</v>
      </c>
      <c r="F583">
        <v>308.14999999999998</v>
      </c>
      <c r="G583">
        <v>490</v>
      </c>
      <c r="H583">
        <f t="shared" si="36"/>
        <v>-2.7838519145184919</v>
      </c>
      <c r="I583">
        <v>6.1800000000000001E-2</v>
      </c>
      <c r="J583" t="str">
        <f t="shared" si="37"/>
        <v>CCCCCCCC[N+](C)(CCCCCCCC)CCCCCCCC.[Br-]CCCCCCCCCC(=O)O</v>
      </c>
      <c r="K583">
        <v>20</v>
      </c>
      <c r="M583">
        <f t="shared" si="38"/>
        <v>-0.33782036633877249</v>
      </c>
      <c r="N583">
        <f t="shared" si="39"/>
        <v>-0.34730901916563295</v>
      </c>
    </row>
    <row r="584" spans="1:14" x14ac:dyDescent="0.35">
      <c r="A584">
        <v>582</v>
      </c>
      <c r="B584" t="s">
        <v>20</v>
      </c>
      <c r="C584" t="s">
        <v>44</v>
      </c>
      <c r="D584">
        <v>0.33333333333333331</v>
      </c>
      <c r="E584">
        <v>0.66666666666666674</v>
      </c>
      <c r="F584">
        <v>308.14999999999998</v>
      </c>
      <c r="G584">
        <v>790</v>
      </c>
      <c r="H584">
        <f t="shared" si="36"/>
        <v>-2.3258537199334</v>
      </c>
      <c r="I584">
        <v>9.7699999999999995E-2</v>
      </c>
      <c r="J584" t="str">
        <f t="shared" si="37"/>
        <v>CCCCCCCC[N+](C)(CCCCCCCC)CCCCCCCC.[Br-]CCCCCCCCCC(=O)O</v>
      </c>
      <c r="K584">
        <v>20</v>
      </c>
      <c r="M584">
        <f t="shared" si="38"/>
        <v>-0.33782036633877249</v>
      </c>
      <c r="N584">
        <f t="shared" si="39"/>
        <v>-0.1795233719523478</v>
      </c>
    </row>
    <row r="585" spans="1:14" x14ac:dyDescent="0.35">
      <c r="A585">
        <v>583</v>
      </c>
      <c r="B585" t="s">
        <v>20</v>
      </c>
      <c r="C585" t="s">
        <v>44</v>
      </c>
      <c r="D585">
        <v>0.33333333333333331</v>
      </c>
      <c r="E585">
        <v>0.66666666666666674</v>
      </c>
      <c r="F585">
        <v>308.14999999999998</v>
      </c>
      <c r="G585">
        <v>990</v>
      </c>
      <c r="H585">
        <f t="shared" si="36"/>
        <v>-2.1185982568810298</v>
      </c>
      <c r="I585">
        <v>0.1202</v>
      </c>
      <c r="J585" t="str">
        <f t="shared" si="37"/>
        <v>CCCCCCCC[N+](C)(CCCCCCCC)CCCCCCCC.[Br-]CCCCCCCCCC(=O)O</v>
      </c>
      <c r="K585">
        <v>20</v>
      </c>
      <c r="M585">
        <f t="shared" si="38"/>
        <v>-0.33782036633877249</v>
      </c>
      <c r="N585">
        <f t="shared" si="39"/>
        <v>-6.766627381015769E-2</v>
      </c>
    </row>
    <row r="586" spans="1:14" x14ac:dyDescent="0.35">
      <c r="A586">
        <v>584</v>
      </c>
      <c r="B586" t="s">
        <v>20</v>
      </c>
      <c r="C586" t="s">
        <v>44</v>
      </c>
      <c r="D586">
        <v>0.33333333333333331</v>
      </c>
      <c r="E586">
        <v>0.66666666666666674</v>
      </c>
      <c r="F586">
        <v>308.14999999999998</v>
      </c>
      <c r="G586">
        <v>1490</v>
      </c>
      <c r="H586">
        <f t="shared" si="36"/>
        <v>-1.7458305373396552</v>
      </c>
      <c r="I586">
        <v>0.17449999999999999</v>
      </c>
      <c r="J586" t="str">
        <f t="shared" si="37"/>
        <v>CCCCCCCC[N+](C)(CCCCCCCC)CCCCCCCC.[Br-]CCCCCCCCCC(=O)O</v>
      </c>
      <c r="K586">
        <v>20</v>
      </c>
      <c r="M586">
        <f t="shared" si="38"/>
        <v>-0.33782036633877249</v>
      </c>
      <c r="N586">
        <f t="shared" si="39"/>
        <v>0.21197647154531757</v>
      </c>
    </row>
    <row r="587" spans="1:14" x14ac:dyDescent="0.35">
      <c r="A587">
        <v>585</v>
      </c>
      <c r="B587" t="s">
        <v>20</v>
      </c>
      <c r="C587" t="s">
        <v>44</v>
      </c>
      <c r="D587">
        <v>0.33333333333333331</v>
      </c>
      <c r="E587">
        <v>0.66666666666666674</v>
      </c>
      <c r="F587">
        <v>308.14999999999998</v>
      </c>
      <c r="G587">
        <v>1990</v>
      </c>
      <c r="H587">
        <f t="shared" si="36"/>
        <v>-1.4858937263426453</v>
      </c>
      <c r="I587">
        <v>0.2263</v>
      </c>
      <c r="J587" t="str">
        <f t="shared" si="37"/>
        <v>CCCCCCCC[N+](C)(CCCCCCCC)CCCCCCCC.[Br-]CCCCCCCCCC(=O)O</v>
      </c>
      <c r="K587">
        <v>20</v>
      </c>
      <c r="M587">
        <f t="shared" si="38"/>
        <v>-0.33782036633877249</v>
      </c>
      <c r="N587">
        <f t="shared" si="39"/>
        <v>0.49161921690079285</v>
      </c>
    </row>
    <row r="588" spans="1:14" x14ac:dyDescent="0.35">
      <c r="A588">
        <v>586</v>
      </c>
      <c r="B588" t="s">
        <v>20</v>
      </c>
      <c r="C588" t="s">
        <v>44</v>
      </c>
      <c r="D588">
        <v>0.33333333333333331</v>
      </c>
      <c r="E588">
        <v>0.66666666666666674</v>
      </c>
      <c r="F588">
        <v>323.14999999999998</v>
      </c>
      <c r="G588">
        <v>90</v>
      </c>
      <c r="H588">
        <f t="shared" si="36"/>
        <v>-4.54</v>
      </c>
      <c r="I588">
        <v>1.0673406553522925E-2</v>
      </c>
      <c r="J588" t="str">
        <f t="shared" si="37"/>
        <v>CCCCCCCC[N+](C)(CCCCCCCC)CCCCCCCC.[Br-]CCCCCCCCCC(=O)O</v>
      </c>
      <c r="K588">
        <v>20</v>
      </c>
      <c r="M588">
        <f t="shared" si="38"/>
        <v>0.83775464848239545</v>
      </c>
      <c r="N588">
        <f t="shared" si="39"/>
        <v>-0.57102321545001322</v>
      </c>
    </row>
    <row r="589" spans="1:14" x14ac:dyDescent="0.35">
      <c r="A589">
        <v>587</v>
      </c>
      <c r="B589" t="s">
        <v>20</v>
      </c>
      <c r="C589" t="s">
        <v>44</v>
      </c>
      <c r="D589">
        <v>0.33333333333333331</v>
      </c>
      <c r="E589">
        <v>0.66666666666666674</v>
      </c>
      <c r="F589">
        <v>323.14999999999998</v>
      </c>
      <c r="G589">
        <v>190</v>
      </c>
      <c r="H589">
        <f t="shared" si="36"/>
        <v>-3.8728022922748648</v>
      </c>
      <c r="I589">
        <v>2.0799999999999999E-2</v>
      </c>
      <c r="J589" t="str">
        <f t="shared" si="37"/>
        <v>CCCCCCCC[N+](C)(CCCCCCCC)CCCCCCCC.[Br-]CCCCCCCCCC(=O)O</v>
      </c>
      <c r="K589">
        <v>20</v>
      </c>
      <c r="M589">
        <f t="shared" si="38"/>
        <v>0.83775464848239545</v>
      </c>
      <c r="N589">
        <f t="shared" si="39"/>
        <v>-0.5150946663789181</v>
      </c>
    </row>
    <row r="590" spans="1:14" x14ac:dyDescent="0.35">
      <c r="A590">
        <v>588</v>
      </c>
      <c r="B590" t="s">
        <v>20</v>
      </c>
      <c r="C590" t="s">
        <v>44</v>
      </c>
      <c r="D590">
        <v>0.33333333333333331</v>
      </c>
      <c r="E590">
        <v>0.66666666666666674</v>
      </c>
      <c r="F590">
        <v>323.14999999999998</v>
      </c>
      <c r="G590">
        <v>290</v>
      </c>
      <c r="H590">
        <f t="shared" si="36"/>
        <v>-3.49</v>
      </c>
      <c r="I590">
        <v>3.0500872171217483E-2</v>
      </c>
      <c r="J590" t="str">
        <f t="shared" si="37"/>
        <v>CCCCCCCC[N+](C)(CCCCCCCC)CCCCCCCC.[Br-]CCCCCCCCCC(=O)O</v>
      </c>
      <c r="K590">
        <v>20</v>
      </c>
      <c r="M590">
        <f t="shared" si="38"/>
        <v>0.83775464848239545</v>
      </c>
      <c r="N590">
        <f t="shared" si="39"/>
        <v>-0.45916611730782309</v>
      </c>
    </row>
    <row r="591" spans="1:14" x14ac:dyDescent="0.35">
      <c r="A591">
        <v>589</v>
      </c>
      <c r="B591" t="s">
        <v>20</v>
      </c>
      <c r="C591" t="s">
        <v>44</v>
      </c>
      <c r="D591">
        <v>0.33333333333333331</v>
      </c>
      <c r="E591">
        <v>0.66666666666666674</v>
      </c>
      <c r="F591">
        <v>323.14999999999998</v>
      </c>
      <c r="G591">
        <v>390</v>
      </c>
      <c r="H591">
        <f t="shared" si="36"/>
        <v>-3.158251203051766</v>
      </c>
      <c r="I591">
        <v>4.2500000000000003E-2</v>
      </c>
      <c r="J591" t="str">
        <f t="shared" si="37"/>
        <v>CCCCCCCC[N+](C)(CCCCCCCC)CCCCCCCC.[Br-]CCCCCCCCCC(=O)O</v>
      </c>
      <c r="K591">
        <v>20</v>
      </c>
      <c r="M591">
        <f t="shared" si="38"/>
        <v>0.83775464848239545</v>
      </c>
      <c r="N591">
        <f t="shared" si="39"/>
        <v>-0.40323756823672802</v>
      </c>
    </row>
    <row r="592" spans="1:14" x14ac:dyDescent="0.35">
      <c r="A592">
        <v>590</v>
      </c>
      <c r="B592" t="s">
        <v>20</v>
      </c>
      <c r="C592" t="s">
        <v>44</v>
      </c>
      <c r="D592">
        <v>0.33333333333333331</v>
      </c>
      <c r="E592">
        <v>0.66666666666666674</v>
      </c>
      <c r="F592">
        <v>323.14999999999998</v>
      </c>
      <c r="G592">
        <v>490</v>
      </c>
      <c r="H592">
        <f t="shared" si="36"/>
        <v>-2.9374633654300153</v>
      </c>
      <c r="I592">
        <v>5.2999999999999999E-2</v>
      </c>
      <c r="J592" t="str">
        <f t="shared" si="37"/>
        <v>CCCCCCCC[N+](C)(CCCCCCCC)CCCCCCCC.[Br-]CCCCCCCCCC(=O)O</v>
      </c>
      <c r="K592">
        <v>20</v>
      </c>
      <c r="M592">
        <f t="shared" si="38"/>
        <v>0.83775464848239545</v>
      </c>
      <c r="N592">
        <f t="shared" si="39"/>
        <v>-0.34730901916563295</v>
      </c>
    </row>
    <row r="593" spans="1:14" x14ac:dyDescent="0.35">
      <c r="A593">
        <v>591</v>
      </c>
      <c r="B593" t="s">
        <v>20</v>
      </c>
      <c r="C593" t="s">
        <v>44</v>
      </c>
      <c r="D593">
        <v>0.33333333333333331</v>
      </c>
      <c r="E593">
        <v>0.66666666666666674</v>
      </c>
      <c r="F593">
        <v>323.14999999999998</v>
      </c>
      <c r="G593">
        <v>790</v>
      </c>
      <c r="H593">
        <f t="shared" si="36"/>
        <v>-2.5034780353734356</v>
      </c>
      <c r="I593">
        <v>8.1799999999999998E-2</v>
      </c>
      <c r="J593" t="str">
        <f t="shared" si="37"/>
        <v>CCCCCCCC[N+](C)(CCCCCCCC)CCCCCCCC.[Br-]CCCCCCCCCC(=O)O</v>
      </c>
      <c r="K593">
        <v>20</v>
      </c>
      <c r="M593">
        <f t="shared" si="38"/>
        <v>0.83775464848239545</v>
      </c>
      <c r="N593">
        <f t="shared" si="39"/>
        <v>-0.1795233719523478</v>
      </c>
    </row>
    <row r="594" spans="1:14" x14ac:dyDescent="0.35">
      <c r="A594">
        <v>592</v>
      </c>
      <c r="B594" t="s">
        <v>20</v>
      </c>
      <c r="C594" t="s">
        <v>44</v>
      </c>
      <c r="D594">
        <v>0.33333333333333331</v>
      </c>
      <c r="E594">
        <v>0.66666666666666674</v>
      </c>
      <c r="F594">
        <v>323.14999999999998</v>
      </c>
      <c r="G594">
        <v>990</v>
      </c>
      <c r="H594">
        <f t="shared" si="36"/>
        <v>-2.2876964805002951</v>
      </c>
      <c r="I594">
        <v>0.10150000000000001</v>
      </c>
      <c r="J594" t="str">
        <f t="shared" si="37"/>
        <v>CCCCCCCC[N+](C)(CCCCCCCC)CCCCCCCC.[Br-]CCCCCCCCCC(=O)O</v>
      </c>
      <c r="K594">
        <v>20</v>
      </c>
      <c r="M594">
        <f t="shared" si="38"/>
        <v>0.83775464848239545</v>
      </c>
      <c r="N594">
        <f t="shared" si="39"/>
        <v>-6.766627381015769E-2</v>
      </c>
    </row>
    <row r="595" spans="1:14" x14ac:dyDescent="0.35">
      <c r="A595">
        <v>593</v>
      </c>
      <c r="B595" t="s">
        <v>20</v>
      </c>
      <c r="C595" t="s">
        <v>44</v>
      </c>
      <c r="D595">
        <v>0.33333333333333331</v>
      </c>
      <c r="E595">
        <v>0.66666666666666674</v>
      </c>
      <c r="F595">
        <v>323.14999999999998</v>
      </c>
      <c r="G595">
        <v>1490</v>
      </c>
      <c r="H595">
        <f t="shared" si="36"/>
        <v>-1.9112189092653828</v>
      </c>
      <c r="I595">
        <v>0.1479</v>
      </c>
      <c r="J595" t="str">
        <f t="shared" si="37"/>
        <v>CCCCCCCC[N+](C)(CCCCCCCC)CCCCCCCC.[Br-]CCCCCCCCCC(=O)O</v>
      </c>
      <c r="K595">
        <v>20</v>
      </c>
      <c r="M595">
        <f t="shared" si="38"/>
        <v>0.83775464848239545</v>
      </c>
      <c r="N595">
        <f t="shared" si="39"/>
        <v>0.21197647154531757</v>
      </c>
    </row>
    <row r="596" spans="1:14" x14ac:dyDescent="0.35">
      <c r="A596">
        <v>594</v>
      </c>
      <c r="B596" t="s">
        <v>20</v>
      </c>
      <c r="C596" t="s">
        <v>44</v>
      </c>
      <c r="D596">
        <v>0.33333333333333331</v>
      </c>
      <c r="E596">
        <v>0.66666666666666674</v>
      </c>
      <c r="F596">
        <v>323.14999999999998</v>
      </c>
      <c r="G596">
        <v>1990</v>
      </c>
      <c r="H596">
        <f t="shared" si="36"/>
        <v>-1.659679128870847</v>
      </c>
      <c r="I596">
        <v>0.19020000000000001</v>
      </c>
      <c r="J596" t="str">
        <f t="shared" si="37"/>
        <v>CCCCCCCC[N+](C)(CCCCCCCC)CCCCCCCC.[Br-]CCCCCCCCCC(=O)O</v>
      </c>
      <c r="K596">
        <v>20</v>
      </c>
      <c r="M596">
        <f t="shared" si="38"/>
        <v>0.83775464848239545</v>
      </c>
      <c r="N596">
        <f t="shared" si="39"/>
        <v>0.49161921690079285</v>
      </c>
    </row>
    <row r="597" spans="1:14" x14ac:dyDescent="0.35">
      <c r="A597">
        <v>595</v>
      </c>
      <c r="B597" t="s">
        <v>7</v>
      </c>
      <c r="C597" t="s">
        <v>40</v>
      </c>
      <c r="D597">
        <v>0.33333333333333331</v>
      </c>
      <c r="E597">
        <v>0.66666666666666674</v>
      </c>
      <c r="F597">
        <v>303.14999999999998</v>
      </c>
      <c r="G597">
        <v>643.6</v>
      </c>
      <c r="H597">
        <f t="shared" si="36"/>
        <v>-3.64</v>
      </c>
      <c r="I597">
        <v>2.6252343965687961E-2</v>
      </c>
      <c r="J597" t="str">
        <f t="shared" si="37"/>
        <v>C[N+](C)(C)CCO.[Cl-]C(CO)O</v>
      </c>
      <c r="K597">
        <v>81</v>
      </c>
      <c r="M597">
        <f t="shared" si="38"/>
        <v>-0.72967870461249518</v>
      </c>
      <c r="N597">
        <f t="shared" si="39"/>
        <v>-0.26140276779243093</v>
      </c>
    </row>
    <row r="598" spans="1:14" x14ac:dyDescent="0.35">
      <c r="A598">
        <v>596</v>
      </c>
      <c r="B598" t="s">
        <v>7</v>
      </c>
      <c r="C598" t="s">
        <v>40</v>
      </c>
      <c r="D598">
        <v>0.33333333333333331</v>
      </c>
      <c r="E598">
        <v>0.66666666666666674</v>
      </c>
      <c r="F598">
        <v>303.14999999999998</v>
      </c>
      <c r="G598">
        <v>734.2</v>
      </c>
      <c r="H598">
        <f t="shared" si="36"/>
        <v>-3.5</v>
      </c>
      <c r="I598">
        <v>3.0197383422318501E-2</v>
      </c>
      <c r="J598" t="str">
        <f t="shared" si="37"/>
        <v>C[N+](C)(C)CCO.[Cl-]C(CO)O</v>
      </c>
      <c r="K598">
        <v>81</v>
      </c>
      <c r="M598">
        <f t="shared" si="38"/>
        <v>-0.72967870461249518</v>
      </c>
      <c r="N598">
        <f t="shared" si="39"/>
        <v>-0.21073150233401883</v>
      </c>
    </row>
    <row r="599" spans="1:14" x14ac:dyDescent="0.35">
      <c r="A599">
        <v>597</v>
      </c>
      <c r="B599" t="s">
        <v>7</v>
      </c>
      <c r="C599" t="s">
        <v>40</v>
      </c>
      <c r="D599">
        <v>0.33333333333333331</v>
      </c>
      <c r="E599">
        <v>0.66666666666666674</v>
      </c>
      <c r="F599">
        <v>303.14999999999998</v>
      </c>
      <c r="G599">
        <v>823.9</v>
      </c>
      <c r="H599">
        <f t="shared" si="36"/>
        <v>-3.3784578946926658</v>
      </c>
      <c r="I599">
        <v>3.4099999999999998E-2</v>
      </c>
      <c r="J599" t="str">
        <f t="shared" si="37"/>
        <v>C[N+](C)(C)CCO.[Cl-]C(CO)O</v>
      </c>
      <c r="K599">
        <v>81</v>
      </c>
      <c r="M599">
        <f t="shared" si="38"/>
        <v>-0.72967870461249518</v>
      </c>
      <c r="N599">
        <f t="shared" si="39"/>
        <v>-0.16056359381724658</v>
      </c>
    </row>
    <row r="600" spans="1:14" x14ac:dyDescent="0.35">
      <c r="A600">
        <v>598</v>
      </c>
      <c r="B600" t="s">
        <v>7</v>
      </c>
      <c r="C600" t="s">
        <v>40</v>
      </c>
      <c r="D600">
        <v>0.33333333333333331</v>
      </c>
      <c r="E600">
        <v>0.66666666666666674</v>
      </c>
      <c r="F600">
        <v>303.14999999999998</v>
      </c>
      <c r="G600">
        <v>1046.2</v>
      </c>
      <c r="H600">
        <f t="shared" si="36"/>
        <v>-3.1349943408874985</v>
      </c>
      <c r="I600">
        <v>4.3499999999999997E-2</v>
      </c>
      <c r="J600" t="str">
        <f t="shared" si="37"/>
        <v>C[N+](C)(C)CCO.[Cl-]C(CO)O</v>
      </c>
      <c r="K600">
        <v>81</v>
      </c>
      <c r="M600">
        <f t="shared" si="38"/>
        <v>-0.72967870461249518</v>
      </c>
      <c r="N600">
        <f t="shared" si="39"/>
        <v>-3.6234429232202249E-2</v>
      </c>
    </row>
    <row r="601" spans="1:14" x14ac:dyDescent="0.35">
      <c r="A601">
        <v>599</v>
      </c>
      <c r="B601" t="s">
        <v>7</v>
      </c>
      <c r="C601" t="s">
        <v>40</v>
      </c>
      <c r="D601">
        <v>0.33333333333333331</v>
      </c>
      <c r="E601">
        <v>0.66666666666666674</v>
      </c>
      <c r="F601">
        <v>303.14999999999998</v>
      </c>
      <c r="G601">
        <v>1246.2</v>
      </c>
      <c r="H601">
        <f t="shared" si="36"/>
        <v>-2.9584364888102939</v>
      </c>
      <c r="I601">
        <v>5.1900000000000002E-2</v>
      </c>
      <c r="J601" t="str">
        <f t="shared" si="37"/>
        <v>C[N+](C)(C)CCO.[Cl-]C(CO)O</v>
      </c>
      <c r="K601">
        <v>81</v>
      </c>
      <c r="M601">
        <f t="shared" si="38"/>
        <v>-0.72967870461249518</v>
      </c>
      <c r="N601">
        <f t="shared" si="39"/>
        <v>7.5622668909987853E-2</v>
      </c>
    </row>
    <row r="602" spans="1:14" x14ac:dyDescent="0.35">
      <c r="A602">
        <v>600</v>
      </c>
      <c r="B602" t="s">
        <v>7</v>
      </c>
      <c r="C602" t="s">
        <v>40</v>
      </c>
      <c r="D602">
        <v>0.33333333333333331</v>
      </c>
      <c r="E602">
        <v>0.66666666666666674</v>
      </c>
      <c r="F602">
        <v>309</v>
      </c>
      <c r="G602">
        <v>47.501159999999999</v>
      </c>
      <c r="H602">
        <f t="shared" si="36"/>
        <v>-6.7944265936751336</v>
      </c>
      <c r="I602">
        <v>1.1199999999999999E-3</v>
      </c>
      <c r="J602" t="str">
        <f t="shared" si="37"/>
        <v>C[N+](C)(C)CCO.[Cl-]C(CO)O</v>
      </c>
      <c r="K602">
        <v>81</v>
      </c>
      <c r="M602">
        <f t="shared" si="38"/>
        <v>-0.27120444883223788</v>
      </c>
      <c r="N602">
        <f t="shared" si="39"/>
        <v>-0.5947922000340593</v>
      </c>
    </row>
    <row r="603" spans="1:14" x14ac:dyDescent="0.35">
      <c r="A603">
        <v>601</v>
      </c>
      <c r="B603" t="s">
        <v>7</v>
      </c>
      <c r="C603" t="s">
        <v>40</v>
      </c>
      <c r="D603">
        <v>0.33333333333333331</v>
      </c>
      <c r="E603">
        <v>0.66666666666666674</v>
      </c>
      <c r="F603">
        <v>309</v>
      </c>
      <c r="G603">
        <v>70.998427500000005</v>
      </c>
      <c r="H603">
        <f t="shared" si="36"/>
        <v>-6.3830267500471551</v>
      </c>
      <c r="I603">
        <v>1.6900000000000001E-3</v>
      </c>
      <c r="J603" t="str">
        <f t="shared" si="37"/>
        <v>C[N+](C)(C)CCO.[Cl-]C(CO)O</v>
      </c>
      <c r="K603">
        <v>81</v>
      </c>
      <c r="M603">
        <f t="shared" si="38"/>
        <v>-0.27120444883223788</v>
      </c>
      <c r="N603">
        <f t="shared" si="39"/>
        <v>-0.58165051924995537</v>
      </c>
    </row>
    <row r="604" spans="1:14" x14ac:dyDescent="0.35">
      <c r="A604">
        <v>602</v>
      </c>
      <c r="B604" t="s">
        <v>7</v>
      </c>
      <c r="C604" t="s">
        <v>40</v>
      </c>
      <c r="D604">
        <v>0.33333333333333331</v>
      </c>
      <c r="E604">
        <v>0.66666666666666674</v>
      </c>
      <c r="F604">
        <v>309</v>
      </c>
      <c r="G604">
        <v>77.503492500000007</v>
      </c>
      <c r="H604">
        <f t="shared" si="36"/>
        <v>-6.3144284337044025</v>
      </c>
      <c r="I604">
        <v>1.81E-3</v>
      </c>
      <c r="J604" t="str">
        <f t="shared" si="37"/>
        <v>C[N+](C)(C)CCO.[Cl-]C(CO)O</v>
      </c>
      <c r="K604">
        <v>81</v>
      </c>
      <c r="M604">
        <f t="shared" si="38"/>
        <v>-0.27120444883223788</v>
      </c>
      <c r="N604">
        <f t="shared" si="39"/>
        <v>-0.57801233077932379</v>
      </c>
    </row>
    <row r="605" spans="1:14" x14ac:dyDescent="0.35">
      <c r="A605">
        <v>603</v>
      </c>
      <c r="B605" t="s">
        <v>7</v>
      </c>
      <c r="C605" t="s">
        <v>40</v>
      </c>
      <c r="D605">
        <v>0.33333333333333331</v>
      </c>
      <c r="E605">
        <v>0.66666666666666674</v>
      </c>
      <c r="F605">
        <v>309</v>
      </c>
      <c r="G605">
        <v>108.49881000000001</v>
      </c>
      <c r="H605">
        <f t="shared" si="36"/>
        <v>-5.9638493800750085</v>
      </c>
      <c r="I605">
        <v>2.5699999999999998E-3</v>
      </c>
      <c r="J605" t="str">
        <f t="shared" si="37"/>
        <v>C[N+](C)(C)CCO.[Cl-]C(CO)O</v>
      </c>
      <c r="K605">
        <v>81</v>
      </c>
      <c r="M605">
        <f t="shared" si="38"/>
        <v>-0.27120444883223788</v>
      </c>
      <c r="N605">
        <f t="shared" si="39"/>
        <v>-0.56067709942159449</v>
      </c>
    </row>
    <row r="606" spans="1:14" x14ac:dyDescent="0.35">
      <c r="A606">
        <v>604</v>
      </c>
      <c r="B606" t="s">
        <v>7</v>
      </c>
      <c r="C606" t="s">
        <v>40</v>
      </c>
      <c r="D606">
        <v>0.33333333333333331</v>
      </c>
      <c r="E606">
        <v>0.66666666666666674</v>
      </c>
      <c r="F606">
        <v>309</v>
      </c>
      <c r="G606">
        <v>109.50192749999999</v>
      </c>
      <c r="H606">
        <f t="shared" si="36"/>
        <v>-5.9445809612091312</v>
      </c>
      <c r="I606">
        <v>2.6199999999999999E-3</v>
      </c>
      <c r="J606" t="str">
        <f t="shared" si="37"/>
        <v>C[N+](C)(C)CCO.[Cl-]C(CO)O</v>
      </c>
      <c r="K606">
        <v>81</v>
      </c>
      <c r="M606">
        <f t="shared" si="38"/>
        <v>-0.27120444883223788</v>
      </c>
      <c r="N606">
        <f t="shared" si="39"/>
        <v>-0.5601160703583663</v>
      </c>
    </row>
    <row r="607" spans="1:14" x14ac:dyDescent="0.35">
      <c r="A607">
        <v>605</v>
      </c>
      <c r="B607" t="s">
        <v>7</v>
      </c>
      <c r="C607" t="s">
        <v>40</v>
      </c>
      <c r="D607">
        <v>0.33333333333333331</v>
      </c>
      <c r="E607">
        <v>0.66666666666666674</v>
      </c>
      <c r="F607">
        <v>309</v>
      </c>
      <c r="G607">
        <v>143.496465</v>
      </c>
      <c r="H607">
        <f t="shared" si="36"/>
        <v>-5.6869253575897778</v>
      </c>
      <c r="I607">
        <v>3.3899999999999998E-3</v>
      </c>
      <c r="J607" t="str">
        <f t="shared" si="37"/>
        <v>C[N+](C)(C)CCO.[Cl-]C(CO)O</v>
      </c>
      <c r="K607">
        <v>81</v>
      </c>
      <c r="M607">
        <f t="shared" si="38"/>
        <v>-0.27120444883223788</v>
      </c>
      <c r="N607">
        <f t="shared" si="39"/>
        <v>-0.54110341877118706</v>
      </c>
    </row>
    <row r="608" spans="1:14" x14ac:dyDescent="0.35">
      <c r="A608">
        <v>606</v>
      </c>
      <c r="B608" t="s">
        <v>7</v>
      </c>
      <c r="C608" t="s">
        <v>40</v>
      </c>
      <c r="D608">
        <v>0.33333333333333331</v>
      </c>
      <c r="E608">
        <v>0.66666666666666674</v>
      </c>
      <c r="F608">
        <v>319</v>
      </c>
      <c r="G608">
        <v>3.5970375000000003</v>
      </c>
      <c r="H608">
        <f t="shared" si="36"/>
        <v>-7.2061613147968933</v>
      </c>
      <c r="I608">
        <v>7.4200000000000004E-4</v>
      </c>
      <c r="J608" t="str">
        <f t="shared" si="37"/>
        <v>C[N+](C)(C)CCO.[Cl-]C(CO)O</v>
      </c>
      <c r="K608">
        <v>81</v>
      </c>
      <c r="M608">
        <f t="shared" si="38"/>
        <v>0.51251222771520744</v>
      </c>
      <c r="N608">
        <f t="shared" si="39"/>
        <v>-0.61934713873070557</v>
      </c>
    </row>
    <row r="609" spans="1:14" x14ac:dyDescent="0.35">
      <c r="A609">
        <v>607</v>
      </c>
      <c r="B609" t="s">
        <v>7</v>
      </c>
      <c r="C609" t="s">
        <v>40</v>
      </c>
      <c r="D609">
        <v>0.33333333333333331</v>
      </c>
      <c r="E609">
        <v>0.66666666666666674</v>
      </c>
      <c r="F609">
        <v>319</v>
      </c>
      <c r="G609">
        <v>7.4980500000000001</v>
      </c>
      <c r="H609">
        <f t="shared" si="36"/>
        <v>-6.4824875435777933</v>
      </c>
      <c r="I609">
        <v>1.5299999999999999E-3</v>
      </c>
      <c r="J609" t="str">
        <f t="shared" si="37"/>
        <v>C[N+](C)(C)CCO.[Cl-]C(CO)O</v>
      </c>
      <c r="K609">
        <v>81</v>
      </c>
      <c r="M609">
        <f t="shared" si="38"/>
        <v>0.51251222771520744</v>
      </c>
      <c r="N609">
        <f t="shared" si="39"/>
        <v>-0.61716535904037351</v>
      </c>
    </row>
    <row r="610" spans="1:14" x14ac:dyDescent="0.35">
      <c r="A610">
        <v>608</v>
      </c>
      <c r="B610" t="s">
        <v>7</v>
      </c>
      <c r="C610" t="s">
        <v>40</v>
      </c>
      <c r="D610">
        <v>0.33333333333333331</v>
      </c>
      <c r="E610">
        <v>0.66666666666666674</v>
      </c>
      <c r="F610">
        <v>319</v>
      </c>
      <c r="G610">
        <v>7.5993750000000002</v>
      </c>
      <c r="H610">
        <f t="shared" si="36"/>
        <v>-6.45667965962192</v>
      </c>
      <c r="I610">
        <v>1.57E-3</v>
      </c>
      <c r="J610" t="str">
        <f t="shared" si="37"/>
        <v>C[N+](C)(C)CCO.[Cl-]C(CO)O</v>
      </c>
      <c r="K610">
        <v>81</v>
      </c>
      <c r="M610">
        <f t="shared" si="38"/>
        <v>0.51251222771520744</v>
      </c>
      <c r="N610">
        <f t="shared" si="39"/>
        <v>-0.61710868943802721</v>
      </c>
    </row>
    <row r="611" spans="1:14" x14ac:dyDescent="0.35">
      <c r="A611">
        <v>609</v>
      </c>
      <c r="B611" t="s">
        <v>7</v>
      </c>
      <c r="C611" t="s">
        <v>40</v>
      </c>
      <c r="D611">
        <v>0.33333333333333331</v>
      </c>
      <c r="E611">
        <v>0.66666666666666674</v>
      </c>
      <c r="F611">
        <v>319</v>
      </c>
      <c r="G611">
        <v>100.5042675</v>
      </c>
      <c r="H611">
        <f t="shared" si="36"/>
        <v>-6.1753873852689107</v>
      </c>
      <c r="I611">
        <v>2.0799999999999998E-3</v>
      </c>
      <c r="J611" t="str">
        <f t="shared" si="37"/>
        <v>C[N+](C)(C)CCO.[Cl-]C(CO)O</v>
      </c>
      <c r="K611">
        <v>81</v>
      </c>
      <c r="M611">
        <f t="shared" si="38"/>
        <v>0.51251222771520744</v>
      </c>
      <c r="N611">
        <f t="shared" si="39"/>
        <v>-0.56514833104671658</v>
      </c>
    </row>
    <row r="612" spans="1:14" x14ac:dyDescent="0.35">
      <c r="A612">
        <v>610</v>
      </c>
      <c r="B612" t="s">
        <v>7</v>
      </c>
      <c r="C612" t="s">
        <v>40</v>
      </c>
      <c r="D612">
        <v>0.33333333333333331</v>
      </c>
      <c r="E612">
        <v>0.66666666666666674</v>
      </c>
      <c r="F612">
        <v>319</v>
      </c>
      <c r="G612">
        <v>118.4995875</v>
      </c>
      <c r="H612">
        <f t="shared" si="36"/>
        <v>-5.9954725685055212</v>
      </c>
      <c r="I612">
        <v>2.49E-3</v>
      </c>
      <c r="J612" t="str">
        <f t="shared" si="37"/>
        <v>C[N+](C)(C)CCO.[Cl-]C(CO)O</v>
      </c>
      <c r="K612">
        <v>81</v>
      </c>
      <c r="M612">
        <f t="shared" si="38"/>
        <v>0.51251222771520744</v>
      </c>
      <c r="N612">
        <f t="shared" si="39"/>
        <v>-0.55508380967001603</v>
      </c>
    </row>
    <row r="613" spans="1:14" x14ac:dyDescent="0.35">
      <c r="A613">
        <v>611</v>
      </c>
      <c r="B613" t="s">
        <v>7</v>
      </c>
      <c r="C613" t="s">
        <v>40</v>
      </c>
      <c r="D613">
        <v>0.33333333333333331</v>
      </c>
      <c r="E613">
        <v>0.66666666666666674</v>
      </c>
      <c r="F613">
        <v>319</v>
      </c>
      <c r="G613">
        <v>144.00308999999999</v>
      </c>
      <c r="H613">
        <f t="shared" si="36"/>
        <v>-5.815831978464824</v>
      </c>
      <c r="I613">
        <v>2.98E-3</v>
      </c>
      <c r="J613" t="str">
        <f t="shared" si="37"/>
        <v>C[N+](C)(C)CCO.[Cl-]C(CO)O</v>
      </c>
      <c r="K613">
        <v>81</v>
      </c>
      <c r="M613">
        <f t="shared" si="38"/>
        <v>0.51251222771520744</v>
      </c>
      <c r="N613">
        <f t="shared" si="39"/>
        <v>-0.5408200707594556</v>
      </c>
    </row>
    <row r="614" spans="1:14" x14ac:dyDescent="0.35">
      <c r="A614">
        <v>612</v>
      </c>
      <c r="B614" t="s">
        <v>7</v>
      </c>
      <c r="C614" t="s">
        <v>40</v>
      </c>
      <c r="D614">
        <v>0.33333333333333331</v>
      </c>
      <c r="E614">
        <v>0.66666666666666674</v>
      </c>
      <c r="F614">
        <v>319</v>
      </c>
      <c r="G614">
        <v>155.99996999999999</v>
      </c>
      <c r="H614">
        <f t="shared" si="36"/>
        <v>-5.7446044691764557</v>
      </c>
      <c r="I614">
        <v>3.2000000000000002E-3</v>
      </c>
      <c r="J614" t="str">
        <f t="shared" si="37"/>
        <v>C[N+](C)(C)CCO.[Cl-]C(CO)O</v>
      </c>
      <c r="K614">
        <v>81</v>
      </c>
      <c r="M614">
        <f t="shared" si="38"/>
        <v>0.51251222771520744</v>
      </c>
      <c r="N614">
        <f t="shared" si="39"/>
        <v>-0.53411038984165515</v>
      </c>
    </row>
    <row r="615" spans="1:14" x14ac:dyDescent="0.35">
      <c r="A615">
        <v>613</v>
      </c>
      <c r="B615" t="s">
        <v>7</v>
      </c>
      <c r="C615" t="s">
        <v>40</v>
      </c>
      <c r="D615">
        <v>0.33333333333333331</v>
      </c>
      <c r="E615">
        <v>0.66666666666666674</v>
      </c>
      <c r="F615">
        <v>329</v>
      </c>
      <c r="G615">
        <v>76.500374999999991</v>
      </c>
      <c r="H615">
        <f t="shared" si="36"/>
        <v>-6.5929445391421035</v>
      </c>
      <c r="I615">
        <v>1.3699999999999999E-3</v>
      </c>
      <c r="J615" t="str">
        <f t="shared" si="37"/>
        <v>C[N+](C)(C)CCO.[Cl-]C(CO)O</v>
      </c>
      <c r="K615">
        <v>81</v>
      </c>
      <c r="M615">
        <f t="shared" si="38"/>
        <v>1.2962289042626527</v>
      </c>
      <c r="N615">
        <f t="shared" si="39"/>
        <v>-0.57857335984255198</v>
      </c>
    </row>
    <row r="616" spans="1:14" x14ac:dyDescent="0.35">
      <c r="A616">
        <v>614</v>
      </c>
      <c r="B616" t="s">
        <v>7</v>
      </c>
      <c r="C616" t="s">
        <v>40</v>
      </c>
      <c r="D616">
        <v>0.33333333333333331</v>
      </c>
      <c r="E616">
        <v>0.66666666666666674</v>
      </c>
      <c r="F616">
        <v>329</v>
      </c>
      <c r="G616">
        <v>112.004655</v>
      </c>
      <c r="H616">
        <f t="shared" si="36"/>
        <v>-6.2096205569111529</v>
      </c>
      <c r="I616">
        <v>2.0100000000000001E-3</v>
      </c>
      <c r="J616" t="str">
        <f t="shared" si="37"/>
        <v>C[N+](C)(C)CCO.[Cl-]C(CO)O</v>
      </c>
      <c r="K616">
        <v>81</v>
      </c>
      <c r="M616">
        <f t="shared" si="38"/>
        <v>1.2962289042626527</v>
      </c>
      <c r="N616">
        <f t="shared" si="39"/>
        <v>-0.55871633118041297</v>
      </c>
    </row>
    <row r="617" spans="1:14" x14ac:dyDescent="0.35">
      <c r="A617">
        <v>615</v>
      </c>
      <c r="B617" t="s">
        <v>7</v>
      </c>
      <c r="C617" t="s">
        <v>40</v>
      </c>
      <c r="D617">
        <v>0.33333333333333331</v>
      </c>
      <c r="E617">
        <v>0.66666666666666674</v>
      </c>
      <c r="F617">
        <v>329</v>
      </c>
      <c r="G617">
        <v>134.498805</v>
      </c>
      <c r="H617">
        <f t="shared" si="36"/>
        <v>-6.0035371283422512</v>
      </c>
      <c r="I617">
        <v>2.47E-3</v>
      </c>
      <c r="J617" t="str">
        <f t="shared" si="37"/>
        <v>C[N+](C)(C)CCO.[Cl-]C(CO)O</v>
      </c>
      <c r="K617">
        <v>81</v>
      </c>
      <c r="M617">
        <f t="shared" si="38"/>
        <v>1.2962289042626527</v>
      </c>
      <c r="N617">
        <f t="shared" si="39"/>
        <v>-0.54613567945953734</v>
      </c>
    </row>
    <row r="618" spans="1:14" x14ac:dyDescent="0.35">
      <c r="A618">
        <v>616</v>
      </c>
      <c r="B618" t="s">
        <v>7</v>
      </c>
      <c r="C618" t="s">
        <v>40</v>
      </c>
      <c r="D618">
        <v>0.33333333333333331</v>
      </c>
      <c r="E618">
        <v>0.66666666666666674</v>
      </c>
      <c r="F618">
        <v>329</v>
      </c>
      <c r="G618">
        <v>147.00230999999999</v>
      </c>
      <c r="H618">
        <f t="shared" si="36"/>
        <v>-5.9182140853683896</v>
      </c>
      <c r="I618">
        <v>2.6900000000000001E-3</v>
      </c>
      <c r="J618" t="str">
        <f t="shared" si="37"/>
        <v>C[N+](C)(C)CCO.[Cl-]C(CO)O</v>
      </c>
      <c r="K618">
        <v>81</v>
      </c>
      <c r="M618">
        <f t="shared" si="38"/>
        <v>1.2962289042626527</v>
      </c>
      <c r="N618">
        <f t="shared" si="39"/>
        <v>-0.53914265053000543</v>
      </c>
    </row>
    <row r="619" spans="1:14" x14ac:dyDescent="0.35">
      <c r="A619">
        <v>617</v>
      </c>
      <c r="B619" t="s">
        <v>7</v>
      </c>
      <c r="C619" t="s">
        <v>40</v>
      </c>
      <c r="D619">
        <v>0.33333333333333331</v>
      </c>
      <c r="E619">
        <v>0.66666666666666674</v>
      </c>
      <c r="F619">
        <v>329</v>
      </c>
      <c r="G619">
        <v>154.00386750000001</v>
      </c>
      <c r="H619">
        <f t="shared" si="36"/>
        <v>-5.8639512268090224</v>
      </c>
      <c r="I619">
        <v>2.8400000000000001E-3</v>
      </c>
      <c r="J619" t="str">
        <f t="shared" si="37"/>
        <v>C[N+](C)(C)CCO.[Cl-]C(CO)O</v>
      </c>
      <c r="K619">
        <v>81</v>
      </c>
      <c r="M619">
        <f t="shared" si="38"/>
        <v>1.2962289042626527</v>
      </c>
      <c r="N619">
        <f t="shared" si="39"/>
        <v>-0.53522678100787702</v>
      </c>
    </row>
    <row r="620" spans="1:14" x14ac:dyDescent="0.35">
      <c r="A620">
        <v>618</v>
      </c>
      <c r="B620" t="s">
        <v>11</v>
      </c>
      <c r="C620" t="s">
        <v>40</v>
      </c>
      <c r="D620">
        <v>0.33333333333333331</v>
      </c>
      <c r="E620">
        <v>0.66666666666666674</v>
      </c>
      <c r="F620">
        <v>303.14999999999998</v>
      </c>
      <c r="G620">
        <v>412</v>
      </c>
      <c r="H620">
        <f t="shared" si="36"/>
        <v>-4.1900000000000004</v>
      </c>
      <c r="I620">
        <v>1.514628487304698E-2</v>
      </c>
      <c r="J620" t="str">
        <f t="shared" si="37"/>
        <v>CCCC[N+](CCCC)(CCCC)CCCC.[Br-]C(CO)O</v>
      </c>
      <c r="K620">
        <v>26</v>
      </c>
      <c r="M620">
        <f t="shared" si="38"/>
        <v>-0.72967870461249518</v>
      </c>
      <c r="N620">
        <f t="shared" si="39"/>
        <v>-0.39093328744108707</v>
      </c>
    </row>
    <row r="621" spans="1:14" x14ac:dyDescent="0.35">
      <c r="A621">
        <v>619</v>
      </c>
      <c r="B621" t="s">
        <v>11</v>
      </c>
      <c r="C621" t="s">
        <v>40</v>
      </c>
      <c r="D621">
        <v>0.33333333333333331</v>
      </c>
      <c r="E621">
        <v>0.66666666666666674</v>
      </c>
      <c r="F621">
        <v>303.14999999999998</v>
      </c>
      <c r="G621">
        <v>774.8</v>
      </c>
      <c r="H621">
        <f t="shared" si="36"/>
        <v>-3.5032301072273069</v>
      </c>
      <c r="I621">
        <v>3.0099999999999998E-2</v>
      </c>
      <c r="J621" t="str">
        <f t="shared" si="37"/>
        <v>CCCC[N+](CCCC)(CCCC)CCCC.[Br-]C(CO)O</v>
      </c>
      <c r="K621">
        <v>26</v>
      </c>
      <c r="M621">
        <f t="shared" si="38"/>
        <v>-0.72967870461249518</v>
      </c>
      <c r="N621">
        <f t="shared" si="39"/>
        <v>-0.18802451141115428</v>
      </c>
    </row>
    <row r="622" spans="1:14" x14ac:dyDescent="0.35">
      <c r="A622">
        <v>620</v>
      </c>
      <c r="B622" t="s">
        <v>11</v>
      </c>
      <c r="C622" t="s">
        <v>40</v>
      </c>
      <c r="D622">
        <v>0.33333333333333331</v>
      </c>
      <c r="E622">
        <v>0.66666666666666674</v>
      </c>
      <c r="F622">
        <v>303.14999999999998</v>
      </c>
      <c r="G622">
        <v>887.6</v>
      </c>
      <c r="H622">
        <f t="shared" si="36"/>
        <v>-3.3581378922017087</v>
      </c>
      <c r="I622">
        <v>3.4799999999999998E-2</v>
      </c>
      <c r="J622" t="str">
        <f t="shared" si="37"/>
        <v>CCCC[N+](CCCC)(CCCC)CCCC.[Br-]C(CO)O</v>
      </c>
      <c r="K622">
        <v>26</v>
      </c>
      <c r="M622">
        <f t="shared" si="38"/>
        <v>-0.72967870461249518</v>
      </c>
      <c r="N622">
        <f t="shared" si="39"/>
        <v>-0.12493710805895902</v>
      </c>
    </row>
    <row r="623" spans="1:14" x14ac:dyDescent="0.35">
      <c r="A623">
        <v>621</v>
      </c>
      <c r="B623" t="s">
        <v>11</v>
      </c>
      <c r="C623" t="s">
        <v>40</v>
      </c>
      <c r="D623">
        <v>0.33333333333333331</v>
      </c>
      <c r="E623">
        <v>0.66666666666666674</v>
      </c>
      <c r="F623">
        <v>303.14999999999998</v>
      </c>
      <c r="G623">
        <v>1060.9000000000001</v>
      </c>
      <c r="H623">
        <f t="shared" si="36"/>
        <v>-3.15</v>
      </c>
      <c r="I623">
        <v>4.2852126867040187E-2</v>
      </c>
      <c r="J623" t="str">
        <f t="shared" si="37"/>
        <v>CCCC[N+](CCCC)(CCCC)CCCC.[Br-]C(CO)O</v>
      </c>
      <c r="K623">
        <v>26</v>
      </c>
      <c r="M623">
        <f t="shared" si="38"/>
        <v>-0.72967870461249518</v>
      </c>
      <c r="N623">
        <f t="shared" si="39"/>
        <v>-2.8012932518751251E-2</v>
      </c>
    </row>
    <row r="624" spans="1:14" x14ac:dyDescent="0.35">
      <c r="A624">
        <v>622</v>
      </c>
      <c r="B624" t="s">
        <v>11</v>
      </c>
      <c r="C624" t="s">
        <v>40</v>
      </c>
      <c r="D624">
        <v>0.33333333333333331</v>
      </c>
      <c r="E624">
        <v>0.66666666666666674</v>
      </c>
      <c r="F624">
        <v>303.14999999999998</v>
      </c>
      <c r="G624">
        <v>1291.0999999999999</v>
      </c>
      <c r="H624">
        <f t="shared" si="36"/>
        <v>-2.9243422774673182</v>
      </c>
      <c r="I624">
        <v>5.3699999999999998E-2</v>
      </c>
      <c r="J624" t="str">
        <f t="shared" si="37"/>
        <v>CCCC[N+](CCCC)(CCCC)CCCC.[Br-]C(CO)O</v>
      </c>
      <c r="K624">
        <v>26</v>
      </c>
      <c r="M624">
        <f t="shared" si="38"/>
        <v>-0.72967870461249518</v>
      </c>
      <c r="N624">
        <f t="shared" si="39"/>
        <v>0.10073458744290946</v>
      </c>
    </row>
    <row r="625" spans="1:14" x14ac:dyDescent="0.35">
      <c r="A625">
        <v>623</v>
      </c>
      <c r="B625" t="s">
        <v>11</v>
      </c>
      <c r="C625" t="s">
        <v>45</v>
      </c>
      <c r="D625">
        <v>0.33333333333333331</v>
      </c>
      <c r="E625">
        <v>0.66666666666666674</v>
      </c>
      <c r="F625">
        <v>303.14999999999998</v>
      </c>
      <c r="G625">
        <v>720.8</v>
      </c>
      <c r="H625">
        <f t="shared" si="36"/>
        <v>-3.396209840151116</v>
      </c>
      <c r="I625">
        <v>3.3500000000000002E-2</v>
      </c>
      <c r="J625" t="str">
        <f t="shared" si="37"/>
        <v>CCCC[N+](CCCC)(CCCC)CCCC.[Br-]C(COCCO)O</v>
      </c>
      <c r="K625">
        <v>27</v>
      </c>
      <c r="M625">
        <f t="shared" si="38"/>
        <v>-0.72967870461249518</v>
      </c>
      <c r="N625">
        <f t="shared" si="39"/>
        <v>-0.21822592790954559</v>
      </c>
    </row>
    <row r="626" spans="1:14" x14ac:dyDescent="0.35">
      <c r="A626">
        <v>624</v>
      </c>
      <c r="B626" t="s">
        <v>11</v>
      </c>
      <c r="C626" t="s">
        <v>45</v>
      </c>
      <c r="D626">
        <v>0.33333333333333331</v>
      </c>
      <c r="E626">
        <v>0.66666666666666674</v>
      </c>
      <c r="F626">
        <v>303.14999999999998</v>
      </c>
      <c r="G626">
        <v>962.5</v>
      </c>
      <c r="H626">
        <f t="shared" si="36"/>
        <v>-2.9077213962312776</v>
      </c>
      <c r="I626">
        <v>5.4600000000000003E-2</v>
      </c>
      <c r="J626" t="str">
        <f t="shared" si="37"/>
        <v>CCCC[N+](CCCC)(CCCC)CCCC.[Br-]C(COCCO)O</v>
      </c>
      <c r="K626">
        <v>27</v>
      </c>
      <c r="M626">
        <f t="shared" si="38"/>
        <v>-0.72967870461249518</v>
      </c>
      <c r="N626">
        <f t="shared" si="39"/>
        <v>-8.3046624804708841E-2</v>
      </c>
    </row>
    <row r="627" spans="1:14" x14ac:dyDescent="0.35">
      <c r="A627">
        <v>625</v>
      </c>
      <c r="B627" t="s">
        <v>11</v>
      </c>
      <c r="C627" t="s">
        <v>45</v>
      </c>
      <c r="D627">
        <v>0.33333333333333331</v>
      </c>
      <c r="E627">
        <v>0.66666666666666674</v>
      </c>
      <c r="F627">
        <v>303.14999999999998</v>
      </c>
      <c r="G627">
        <v>1005</v>
      </c>
      <c r="H627">
        <f t="shared" si="36"/>
        <v>-2.8251459729784574</v>
      </c>
      <c r="I627">
        <v>5.9299999999999999E-2</v>
      </c>
      <c r="J627" t="str">
        <f t="shared" si="37"/>
        <v>CCCC[N+](CCCC)(CCCC)CCCC.[Br-]C(COCCO)O</v>
      </c>
      <c r="K627">
        <v>27</v>
      </c>
      <c r="M627">
        <f t="shared" si="38"/>
        <v>-0.72967870461249518</v>
      </c>
      <c r="N627">
        <f t="shared" si="39"/>
        <v>-5.9276991449493437E-2</v>
      </c>
    </row>
    <row r="628" spans="1:14" x14ac:dyDescent="0.35">
      <c r="A628">
        <v>626</v>
      </c>
      <c r="B628" t="s">
        <v>11</v>
      </c>
      <c r="C628" t="s">
        <v>45</v>
      </c>
      <c r="D628">
        <v>0.33333333333333331</v>
      </c>
      <c r="E628">
        <v>0.66666666666666674</v>
      </c>
      <c r="F628">
        <v>303.14999999999998</v>
      </c>
      <c r="G628">
        <v>1096.3</v>
      </c>
      <c r="H628">
        <f t="shared" si="36"/>
        <v>-2.6436679421729421</v>
      </c>
      <c r="I628">
        <v>7.1099999999999997E-2</v>
      </c>
      <c r="J628" t="str">
        <f t="shared" si="37"/>
        <v>CCCC[N+](CCCC)(CCCC)CCCC.[Br-]C(COCCO)O</v>
      </c>
      <c r="K628">
        <v>27</v>
      </c>
      <c r="M628">
        <f t="shared" si="38"/>
        <v>-0.72967870461249518</v>
      </c>
      <c r="N628">
        <f t="shared" si="39"/>
        <v>-8.2142261475836812E-3</v>
      </c>
    </row>
    <row r="629" spans="1:14" x14ac:dyDescent="0.35">
      <c r="A629">
        <v>627</v>
      </c>
      <c r="B629" t="s">
        <v>11</v>
      </c>
      <c r="C629" t="s">
        <v>45</v>
      </c>
      <c r="D629">
        <v>0.33333333333333331</v>
      </c>
      <c r="E629">
        <v>0.66666666666666674</v>
      </c>
      <c r="F629">
        <v>303.14999999999998</v>
      </c>
      <c r="G629">
        <v>1392.5</v>
      </c>
      <c r="H629">
        <f t="shared" si="36"/>
        <v>-2.31</v>
      </c>
      <c r="I629">
        <v>9.9261251559645658E-2</v>
      </c>
      <c r="J629" t="str">
        <f t="shared" si="37"/>
        <v>CCCC[N+](CCCC)(CCCC)CCCC.[Br-]C(COCCO)O</v>
      </c>
      <c r="K629">
        <v>27</v>
      </c>
      <c r="M629">
        <f t="shared" si="38"/>
        <v>-0.72967870461249518</v>
      </c>
      <c r="N629">
        <f t="shared" si="39"/>
        <v>0.1574461362009999</v>
      </c>
    </row>
    <row r="630" spans="1:14" x14ac:dyDescent="0.35">
      <c r="A630">
        <v>628</v>
      </c>
      <c r="B630" t="s">
        <v>11</v>
      </c>
      <c r="C630" t="s">
        <v>56</v>
      </c>
      <c r="D630">
        <v>0.33333333333333331</v>
      </c>
      <c r="E630">
        <v>0.66666666666666674</v>
      </c>
      <c r="F630">
        <v>303.14999999999998</v>
      </c>
      <c r="G630">
        <v>610.5</v>
      </c>
      <c r="H630">
        <f t="shared" si="36"/>
        <v>-3.07</v>
      </c>
      <c r="I630">
        <v>4.6421154857431271E-2</v>
      </c>
      <c r="J630" t="str">
        <f t="shared" si="37"/>
        <v>CCCC[N+](CCCC)(CCCC)CCCC.[Br-]CN(CCO)CCO</v>
      </c>
      <c r="K630">
        <v>34</v>
      </c>
      <c r="M630">
        <f t="shared" si="38"/>
        <v>-0.72967870461249518</v>
      </c>
      <c r="N630">
        <f t="shared" si="39"/>
        <v>-0.2799151175349634</v>
      </c>
    </row>
    <row r="631" spans="1:14" x14ac:dyDescent="0.35">
      <c r="A631">
        <v>629</v>
      </c>
      <c r="B631" t="s">
        <v>11</v>
      </c>
      <c r="C631" t="s">
        <v>56</v>
      </c>
      <c r="D631">
        <v>0.33333333333333331</v>
      </c>
      <c r="E631">
        <v>0.66666666666666674</v>
      </c>
      <c r="F631">
        <v>303.14999999999998</v>
      </c>
      <c r="G631">
        <v>734.6</v>
      </c>
      <c r="H631">
        <f t="shared" si="36"/>
        <v>-2.7120582224997487</v>
      </c>
      <c r="I631">
        <v>6.6400000000000001E-2</v>
      </c>
      <c r="J631" t="str">
        <f t="shared" si="37"/>
        <v>CCCC[N+](CCCC)(CCCC)CCCC.[Br-]CN(CCO)CCO</v>
      </c>
      <c r="K631">
        <v>34</v>
      </c>
      <c r="M631">
        <f t="shared" si="38"/>
        <v>-0.72967870461249518</v>
      </c>
      <c r="N631">
        <f t="shared" si="39"/>
        <v>-0.21050778813773444</v>
      </c>
    </row>
    <row r="632" spans="1:14" x14ac:dyDescent="0.35">
      <c r="A632">
        <v>630</v>
      </c>
      <c r="B632" t="s">
        <v>11</v>
      </c>
      <c r="C632" t="s">
        <v>56</v>
      </c>
      <c r="D632">
        <v>0.33333333333333331</v>
      </c>
      <c r="E632">
        <v>0.66666666666666674</v>
      </c>
      <c r="F632">
        <v>303.14999999999998</v>
      </c>
      <c r="G632">
        <v>823</v>
      </c>
      <c r="H632">
        <f t="shared" si="36"/>
        <v>-2.58</v>
      </c>
      <c r="I632">
        <v>7.5774004022845481E-2</v>
      </c>
      <c r="J632" t="str">
        <f t="shared" si="37"/>
        <v>CCCC[N+](CCCC)(CCCC)CCCC.[Br-]CN(CCO)CCO</v>
      </c>
      <c r="K632">
        <v>34</v>
      </c>
      <c r="M632">
        <f t="shared" si="38"/>
        <v>-0.72967870461249518</v>
      </c>
      <c r="N632">
        <f t="shared" si="39"/>
        <v>-0.16106695075888644</v>
      </c>
    </row>
    <row r="633" spans="1:14" x14ac:dyDescent="0.35">
      <c r="A633">
        <v>631</v>
      </c>
      <c r="B633" t="s">
        <v>11</v>
      </c>
      <c r="C633" t="s">
        <v>56</v>
      </c>
      <c r="D633">
        <v>0.33333333333333331</v>
      </c>
      <c r="E633">
        <v>0.66666666666666674</v>
      </c>
      <c r="F633">
        <v>303.14999999999998</v>
      </c>
      <c r="G633">
        <v>930.6</v>
      </c>
      <c r="H633">
        <f t="shared" si="36"/>
        <v>-2.304587095664719</v>
      </c>
      <c r="I633">
        <v>9.98E-2</v>
      </c>
      <c r="J633" t="str">
        <f t="shared" si="37"/>
        <v>CCCC[N+](CCCC)(CCCC)CCCC.[Br-]CN(CCO)CCO</v>
      </c>
      <c r="K633">
        <v>34</v>
      </c>
      <c r="M633">
        <f t="shared" si="38"/>
        <v>-0.72967870461249518</v>
      </c>
      <c r="N633">
        <f t="shared" si="39"/>
        <v>-0.10088783195838814</v>
      </c>
    </row>
    <row r="634" spans="1:14" x14ac:dyDescent="0.35">
      <c r="A634">
        <v>632</v>
      </c>
      <c r="B634" t="s">
        <v>11</v>
      </c>
      <c r="C634" t="s">
        <v>56</v>
      </c>
      <c r="D634">
        <v>0.33333333333333331</v>
      </c>
      <c r="E634">
        <v>0.66666666666666674</v>
      </c>
      <c r="F634">
        <v>303.14999999999998</v>
      </c>
      <c r="G634">
        <v>1011.2</v>
      </c>
      <c r="H634">
        <f t="shared" si="36"/>
        <v>-2.2837633387534577</v>
      </c>
      <c r="I634">
        <v>0.1019</v>
      </c>
      <c r="J634" t="str">
        <f t="shared" si="37"/>
        <v>CCCC[N+](CCCC)(CCCC)CCCC.[Br-]CN(CCO)CCO</v>
      </c>
      <c r="K634">
        <v>34</v>
      </c>
      <c r="M634">
        <f t="shared" si="38"/>
        <v>-0.72967870461249518</v>
      </c>
      <c r="N634">
        <f t="shared" si="39"/>
        <v>-5.5809421407085516E-2</v>
      </c>
    </row>
    <row r="635" spans="1:14" x14ac:dyDescent="0.35">
      <c r="A635">
        <v>633</v>
      </c>
      <c r="B635" t="s">
        <v>11</v>
      </c>
      <c r="C635" t="s">
        <v>44</v>
      </c>
      <c r="D635">
        <v>0.33333333333333331</v>
      </c>
      <c r="E635">
        <v>0.66666666666666674</v>
      </c>
      <c r="F635">
        <v>303.14999999999998</v>
      </c>
      <c r="G635">
        <v>488</v>
      </c>
      <c r="H635">
        <f t="shared" si="36"/>
        <v>-2.8577109756566164</v>
      </c>
      <c r="I635">
        <v>5.74E-2</v>
      </c>
      <c r="J635" t="str">
        <f t="shared" si="37"/>
        <v>CCCC[N+](CCCC)(CCCC)CCCC.[Br-]CCCCCCCCCC(=O)O</v>
      </c>
      <c r="K635">
        <v>32</v>
      </c>
      <c r="M635">
        <f t="shared" si="38"/>
        <v>-0.72967870461249518</v>
      </c>
      <c r="N635">
        <f t="shared" si="39"/>
        <v>-0.34842759014705488</v>
      </c>
    </row>
    <row r="636" spans="1:14" x14ac:dyDescent="0.35">
      <c r="A636">
        <v>634</v>
      </c>
      <c r="B636" t="s">
        <v>11</v>
      </c>
      <c r="C636" t="s">
        <v>44</v>
      </c>
      <c r="D636">
        <v>0.33333333333333331</v>
      </c>
      <c r="E636">
        <v>0.66666666666666674</v>
      </c>
      <c r="F636">
        <v>303.14999999999998</v>
      </c>
      <c r="G636">
        <v>564</v>
      </c>
      <c r="H636">
        <f t="shared" si="36"/>
        <v>-2.6564069679503715</v>
      </c>
      <c r="I636">
        <v>7.0199999999999999E-2</v>
      </c>
      <c r="J636" t="str">
        <f t="shared" si="37"/>
        <v>CCCC[N+](CCCC)(CCCC)CCCC.[Br-]CCCCCCCCCC(=O)O</v>
      </c>
      <c r="K636">
        <v>32</v>
      </c>
      <c r="M636">
        <f t="shared" si="38"/>
        <v>-0.72967870461249518</v>
      </c>
      <c r="N636">
        <f t="shared" si="39"/>
        <v>-0.30592189285302263</v>
      </c>
    </row>
    <row r="637" spans="1:14" x14ac:dyDescent="0.35">
      <c r="A637">
        <v>635</v>
      </c>
      <c r="B637" t="s">
        <v>11</v>
      </c>
      <c r="C637" t="s">
        <v>44</v>
      </c>
      <c r="D637">
        <v>0.33333333333333331</v>
      </c>
      <c r="E637">
        <v>0.66666666666666674</v>
      </c>
      <c r="F637">
        <v>303.14999999999998</v>
      </c>
      <c r="G637">
        <v>654</v>
      </c>
      <c r="H637">
        <f t="shared" si="36"/>
        <v>-2.488914671185539</v>
      </c>
      <c r="I637">
        <v>8.3000000000000004E-2</v>
      </c>
      <c r="J637" t="str">
        <f t="shared" si="37"/>
        <v>CCCC[N+](CCCC)(CCCC)CCCC.[Br-]CCCCCCCCCC(=O)O</v>
      </c>
      <c r="K637">
        <v>32</v>
      </c>
      <c r="M637">
        <f t="shared" si="38"/>
        <v>-0.72967870461249518</v>
      </c>
      <c r="N637">
        <f t="shared" si="39"/>
        <v>-0.25558619868903709</v>
      </c>
    </row>
    <row r="638" spans="1:14" x14ac:dyDescent="0.35">
      <c r="A638">
        <v>636</v>
      </c>
      <c r="B638" t="s">
        <v>11</v>
      </c>
      <c r="C638" t="s">
        <v>44</v>
      </c>
      <c r="D638">
        <v>0.33333333333333331</v>
      </c>
      <c r="E638">
        <v>0.66666666666666674</v>
      </c>
      <c r="F638">
        <v>303.14999999999998</v>
      </c>
      <c r="G638">
        <v>771</v>
      </c>
      <c r="H638">
        <f t="shared" si="36"/>
        <v>-2.3848803357208759</v>
      </c>
      <c r="I638">
        <v>9.2100000000000001E-2</v>
      </c>
      <c r="J638" t="str">
        <f t="shared" si="37"/>
        <v>CCCC[N+](CCCC)(CCCC)CCCC.[Br-]CCCCCCCCCC(=O)O</v>
      </c>
      <c r="K638">
        <v>32</v>
      </c>
      <c r="M638">
        <f t="shared" si="38"/>
        <v>-0.72967870461249518</v>
      </c>
      <c r="N638">
        <f t="shared" si="39"/>
        <v>-0.19014979627585585</v>
      </c>
    </row>
    <row r="639" spans="1:14" x14ac:dyDescent="0.35">
      <c r="A639">
        <v>637</v>
      </c>
      <c r="B639" t="s">
        <v>11</v>
      </c>
      <c r="C639" t="s">
        <v>44</v>
      </c>
      <c r="D639">
        <v>0.33333333333333331</v>
      </c>
      <c r="E639">
        <v>0.66666666666666674</v>
      </c>
      <c r="F639">
        <v>303.14999999999998</v>
      </c>
      <c r="G639">
        <v>914</v>
      </c>
      <c r="H639">
        <f t="shared" si="36"/>
        <v>-2.2118307297255817</v>
      </c>
      <c r="I639">
        <v>0.1095</v>
      </c>
      <c r="J639" t="str">
        <f t="shared" si="37"/>
        <v>CCCC[N+](CCCC)(CCCC)CCCC.[Br-]CCCCCCCCCC(=O)O</v>
      </c>
      <c r="K639">
        <v>32</v>
      </c>
      <c r="M639">
        <f t="shared" si="38"/>
        <v>-0.72967870461249518</v>
      </c>
      <c r="N639">
        <f t="shared" si="39"/>
        <v>-0.11017197110418994</v>
      </c>
    </row>
    <row r="640" spans="1:14" x14ac:dyDescent="0.35">
      <c r="A640">
        <v>638</v>
      </c>
      <c r="B640" t="s">
        <v>11</v>
      </c>
      <c r="C640" t="s">
        <v>44</v>
      </c>
      <c r="D640">
        <v>0.33333333333333331</v>
      </c>
      <c r="E640">
        <v>0.66666666666666674</v>
      </c>
      <c r="F640">
        <v>303.14999999999998</v>
      </c>
      <c r="G640">
        <v>1004</v>
      </c>
      <c r="H640">
        <f t="shared" si="36"/>
        <v>-2.1061962789886555</v>
      </c>
      <c r="I640">
        <v>0.1217</v>
      </c>
      <c r="J640" t="str">
        <f t="shared" si="37"/>
        <v>CCCC[N+](CCCC)(CCCC)CCCC.[Br-]CCCCCCCCCC(=O)O</v>
      </c>
      <c r="K640">
        <v>32</v>
      </c>
      <c r="M640">
        <f t="shared" si="38"/>
        <v>-0.72967870461249518</v>
      </c>
      <c r="N640">
        <f t="shared" si="39"/>
        <v>-5.9836276940204387E-2</v>
      </c>
    </row>
    <row r="641" spans="1:14" x14ac:dyDescent="0.35">
      <c r="A641">
        <v>639</v>
      </c>
      <c r="B641" t="s">
        <v>11</v>
      </c>
      <c r="C641" t="s">
        <v>44</v>
      </c>
      <c r="D641">
        <v>0.33333333333333331</v>
      </c>
      <c r="E641">
        <v>0.66666666666666674</v>
      </c>
      <c r="F641">
        <v>303.14999999999998</v>
      </c>
      <c r="G641">
        <v>1117</v>
      </c>
      <c r="H641">
        <f t="shared" si="36"/>
        <v>-2.0317948882124828</v>
      </c>
      <c r="I641">
        <v>0.13109999999999999</v>
      </c>
      <c r="J641" t="str">
        <f t="shared" si="37"/>
        <v>CCCC[N+](CCCC)(CCCC)CCCC.[Br-]CCCCCCCCCC(=O)O</v>
      </c>
      <c r="K641">
        <v>32</v>
      </c>
      <c r="M641">
        <f t="shared" si="38"/>
        <v>-0.72967870461249518</v>
      </c>
      <c r="N641">
        <f t="shared" si="39"/>
        <v>3.3629835101330208E-3</v>
      </c>
    </row>
    <row r="642" spans="1:14" x14ac:dyDescent="0.35">
      <c r="A642">
        <v>640</v>
      </c>
      <c r="B642" t="s">
        <v>11</v>
      </c>
      <c r="C642" t="s">
        <v>44</v>
      </c>
      <c r="D642">
        <v>0.33333333333333331</v>
      </c>
      <c r="E642">
        <v>0.66666666666666674</v>
      </c>
      <c r="F642">
        <v>313.14999999999998</v>
      </c>
      <c r="G642">
        <v>470</v>
      </c>
      <c r="H642">
        <f t="shared" si="36"/>
        <v>-3.0618720760585361</v>
      </c>
      <c r="I642">
        <v>4.6800000000000001E-2</v>
      </c>
      <c r="J642" t="str">
        <f t="shared" si="37"/>
        <v>CCCC[N+](CCCC)(CCCC)CCCC.[Br-]CCCCCCCCCC(=O)O</v>
      </c>
      <c r="K642">
        <v>32</v>
      </c>
      <c r="M642">
        <f t="shared" si="38"/>
        <v>5.4037971934950142E-2</v>
      </c>
      <c r="N642">
        <f t="shared" si="39"/>
        <v>-0.35849472897985196</v>
      </c>
    </row>
    <row r="643" spans="1:14" x14ac:dyDescent="0.35">
      <c r="A643">
        <v>641</v>
      </c>
      <c r="B643" t="s">
        <v>11</v>
      </c>
      <c r="C643" t="s">
        <v>44</v>
      </c>
      <c r="D643">
        <v>0.33333333333333331</v>
      </c>
      <c r="E643">
        <v>0.66666666666666674</v>
      </c>
      <c r="F643">
        <v>313.14999999999998</v>
      </c>
      <c r="G643">
        <v>607</v>
      </c>
      <c r="H643">
        <f t="shared" ref="H643:H706" si="40">LN(I643)</f>
        <v>-2.8001654900100159</v>
      </c>
      <c r="I643">
        <v>6.08E-2</v>
      </c>
      <c r="J643" t="str">
        <f t="shared" ref="J643:J706" si="41">_xlfn.CONCAT(B643,C643)</f>
        <v>CCCC[N+](CCCC)(CCCC)CCCC.[Br-]CCCCCCCCCC(=O)O</v>
      </c>
      <c r="K643">
        <v>32</v>
      </c>
      <c r="M643">
        <f t="shared" ref="M643:M706" si="42">(F643-$L$3)/$L$2</f>
        <v>5.4037971934950142E-2</v>
      </c>
      <c r="N643">
        <f t="shared" ref="N643:N706" si="43">(G643-$L$6)/$L$5</f>
        <v>-0.28187261675245173</v>
      </c>
    </row>
    <row r="644" spans="1:14" x14ac:dyDescent="0.35">
      <c r="A644">
        <v>642</v>
      </c>
      <c r="B644" t="s">
        <v>11</v>
      </c>
      <c r="C644" t="s">
        <v>44</v>
      </c>
      <c r="D644">
        <v>0.33333333333333331</v>
      </c>
      <c r="E644">
        <v>0.66666666666666674</v>
      </c>
      <c r="F644">
        <v>313.14999999999998</v>
      </c>
      <c r="G644">
        <v>653</v>
      </c>
      <c r="H644">
        <f t="shared" si="40"/>
        <v>-2.7426416458718292</v>
      </c>
      <c r="I644">
        <v>6.4399999999999999E-2</v>
      </c>
      <c r="J644" t="str">
        <f t="shared" si="41"/>
        <v>CCCC[N+](CCCC)(CCCC)CCCC.[Br-]CCCCCCCCCC(=O)O</v>
      </c>
      <c r="K644">
        <v>32</v>
      </c>
      <c r="M644">
        <f t="shared" si="42"/>
        <v>5.4037971934950142E-2</v>
      </c>
      <c r="N644">
        <f t="shared" si="43"/>
        <v>-0.25614548417974803</v>
      </c>
    </row>
    <row r="645" spans="1:14" x14ac:dyDescent="0.35">
      <c r="A645">
        <v>643</v>
      </c>
      <c r="B645" t="s">
        <v>11</v>
      </c>
      <c r="C645" t="s">
        <v>44</v>
      </c>
      <c r="D645">
        <v>0.33333333333333331</v>
      </c>
      <c r="E645">
        <v>0.66666666666666674</v>
      </c>
      <c r="F645">
        <v>313.14999999999998</v>
      </c>
      <c r="G645">
        <v>736</v>
      </c>
      <c r="H645">
        <f t="shared" si="40"/>
        <v>-2.5770219386958062</v>
      </c>
      <c r="I645">
        <v>7.5999999999999998E-2</v>
      </c>
      <c r="J645" t="str">
        <f t="shared" si="41"/>
        <v>CCCC[N+](CCCC)(CCCC)CCCC.[Br-]CCCCCCCCCC(=O)O</v>
      </c>
      <c r="K645">
        <v>32</v>
      </c>
      <c r="M645">
        <f t="shared" si="42"/>
        <v>5.4037971934950142E-2</v>
      </c>
      <c r="N645">
        <f t="shared" si="43"/>
        <v>-0.20972478845073914</v>
      </c>
    </row>
    <row r="646" spans="1:14" x14ac:dyDescent="0.35">
      <c r="A646">
        <v>644</v>
      </c>
      <c r="B646" t="s">
        <v>11</v>
      </c>
      <c r="C646" t="s">
        <v>44</v>
      </c>
      <c r="D646">
        <v>0.33333333333333331</v>
      </c>
      <c r="E646">
        <v>0.66666666666666674</v>
      </c>
      <c r="F646">
        <v>313.14999999999998</v>
      </c>
      <c r="G646">
        <v>841</v>
      </c>
      <c r="H646">
        <f t="shared" si="40"/>
        <v>-2.4545714499919273</v>
      </c>
      <c r="I646">
        <v>8.5900000000000004E-2</v>
      </c>
      <c r="J646" t="str">
        <f t="shared" si="41"/>
        <v>CCCC[N+](CCCC)(CCCC)CCCC.[Br-]CCCCCCCCCC(=O)O</v>
      </c>
      <c r="K646">
        <v>32</v>
      </c>
      <c r="M646">
        <f t="shared" si="42"/>
        <v>5.4037971934950142E-2</v>
      </c>
      <c r="N646">
        <f t="shared" si="43"/>
        <v>-0.15099981192608933</v>
      </c>
    </row>
    <row r="647" spans="1:14" x14ac:dyDescent="0.35">
      <c r="A647">
        <v>645</v>
      </c>
      <c r="B647" t="s">
        <v>11</v>
      </c>
      <c r="C647" t="s">
        <v>44</v>
      </c>
      <c r="D647">
        <v>0.33333333333333331</v>
      </c>
      <c r="E647">
        <v>0.66666666666666674</v>
      </c>
      <c r="F647">
        <v>313.14999999999998</v>
      </c>
      <c r="G647">
        <v>1030</v>
      </c>
      <c r="H647">
        <f t="shared" si="40"/>
        <v>-2.2691503169078082</v>
      </c>
      <c r="I647">
        <v>0.10340000000000001</v>
      </c>
      <c r="J647" t="str">
        <f t="shared" si="41"/>
        <v>CCCC[N+](CCCC)(CCCC)CCCC.[Br-]CCCCCCCCCC(=O)O</v>
      </c>
      <c r="K647">
        <v>32</v>
      </c>
      <c r="M647">
        <f t="shared" si="42"/>
        <v>5.4037971934950142E-2</v>
      </c>
      <c r="N647">
        <f t="shared" si="43"/>
        <v>-4.5294854181719676E-2</v>
      </c>
    </row>
    <row r="648" spans="1:14" x14ac:dyDescent="0.35">
      <c r="A648">
        <v>646</v>
      </c>
      <c r="B648" t="s">
        <v>11</v>
      </c>
      <c r="C648" t="s">
        <v>44</v>
      </c>
      <c r="D648">
        <v>0.33333333333333331</v>
      </c>
      <c r="E648">
        <v>0.66666666666666674</v>
      </c>
      <c r="F648">
        <v>313.14999999999998</v>
      </c>
      <c r="G648">
        <v>1138</v>
      </c>
      <c r="H648">
        <f t="shared" si="40"/>
        <v>-2.1839135632765472</v>
      </c>
      <c r="I648">
        <v>0.11260000000000001</v>
      </c>
      <c r="J648" t="str">
        <f t="shared" si="41"/>
        <v>CCCC[N+](CCCC)(CCCC)CCCC.[Br-]CCCCCCCCCC(=O)O</v>
      </c>
      <c r="K648">
        <v>32</v>
      </c>
      <c r="M648">
        <f t="shared" si="42"/>
        <v>5.4037971934950142E-2</v>
      </c>
      <c r="N648">
        <f t="shared" si="43"/>
        <v>1.5107978815062982E-2</v>
      </c>
    </row>
    <row r="649" spans="1:14" x14ac:dyDescent="0.35">
      <c r="A649">
        <v>647</v>
      </c>
      <c r="B649" t="s">
        <v>11</v>
      </c>
      <c r="C649" t="s">
        <v>44</v>
      </c>
      <c r="D649">
        <v>0.33333333333333331</v>
      </c>
      <c r="E649">
        <v>0.66666666666666674</v>
      </c>
      <c r="F649">
        <v>323.14999999999998</v>
      </c>
      <c r="G649">
        <v>419</v>
      </c>
      <c r="H649">
        <f t="shared" si="40"/>
        <v>-3.2728041668937564</v>
      </c>
      <c r="I649">
        <v>3.7900000000000003E-2</v>
      </c>
      <c r="J649" t="str">
        <f t="shared" si="41"/>
        <v>CCCC[N+](CCCC)(CCCC)CCCC.[Br-]CCCCCCCCCC(=O)O</v>
      </c>
      <c r="K649">
        <v>32</v>
      </c>
      <c r="M649">
        <f t="shared" si="42"/>
        <v>0.83775464848239545</v>
      </c>
      <c r="N649">
        <f t="shared" si="43"/>
        <v>-0.38701828900611046</v>
      </c>
    </row>
    <row r="650" spans="1:14" x14ac:dyDescent="0.35">
      <c r="A650">
        <v>648</v>
      </c>
      <c r="B650" t="s">
        <v>11</v>
      </c>
      <c r="C650" t="s">
        <v>44</v>
      </c>
      <c r="D650">
        <v>0.33333333333333331</v>
      </c>
      <c r="E650">
        <v>0.66666666666666674</v>
      </c>
      <c r="F650">
        <v>323.14999999999998</v>
      </c>
      <c r="G650">
        <v>500</v>
      </c>
      <c r="H650">
        <f t="shared" si="40"/>
        <v>-3.1055471395611978</v>
      </c>
      <c r="I650">
        <v>4.48E-2</v>
      </c>
      <c r="J650" t="str">
        <f t="shared" si="41"/>
        <v>CCCC[N+](CCCC)(CCCC)CCCC.[Br-]CCCCCCCCCC(=O)O</v>
      </c>
      <c r="K650">
        <v>32</v>
      </c>
      <c r="M650">
        <f t="shared" si="42"/>
        <v>0.83775464848239545</v>
      </c>
      <c r="N650">
        <f t="shared" si="43"/>
        <v>-0.34171616425852347</v>
      </c>
    </row>
    <row r="651" spans="1:14" x14ac:dyDescent="0.35">
      <c r="A651">
        <v>649</v>
      </c>
      <c r="B651" t="s">
        <v>11</v>
      </c>
      <c r="C651" t="s">
        <v>44</v>
      </c>
      <c r="D651">
        <v>0.33333333333333331</v>
      </c>
      <c r="E651">
        <v>0.66666666666666674</v>
      </c>
      <c r="F651">
        <v>323.14999999999998</v>
      </c>
      <c r="G651">
        <v>633</v>
      </c>
      <c r="H651">
        <f t="shared" si="40"/>
        <v>-2.9058915695542016</v>
      </c>
      <c r="I651">
        <v>5.4699999999999999E-2</v>
      </c>
      <c r="J651" t="str">
        <f t="shared" si="41"/>
        <v>CCCC[N+](CCCC)(CCCC)CCCC.[Br-]CCCCCCCCCC(=O)O</v>
      </c>
      <c r="K651">
        <v>32</v>
      </c>
      <c r="M651">
        <f t="shared" si="42"/>
        <v>0.83775464848239545</v>
      </c>
      <c r="N651">
        <f t="shared" si="43"/>
        <v>-0.26733119399396704</v>
      </c>
    </row>
    <row r="652" spans="1:14" x14ac:dyDescent="0.35">
      <c r="A652">
        <v>650</v>
      </c>
      <c r="B652" t="s">
        <v>11</v>
      </c>
      <c r="C652" t="s">
        <v>44</v>
      </c>
      <c r="D652">
        <v>0.33333333333333331</v>
      </c>
      <c r="E652">
        <v>0.66666666666666674</v>
      </c>
      <c r="F652">
        <v>323.14999999999998</v>
      </c>
      <c r="G652">
        <v>794</v>
      </c>
      <c r="H652">
        <f t="shared" si="40"/>
        <v>-2.6707544163585131</v>
      </c>
      <c r="I652">
        <v>6.9199999999999998E-2</v>
      </c>
      <c r="J652" t="str">
        <f t="shared" si="41"/>
        <v>CCCC[N+](CCCC)(CCCC)CCCC.[Br-]CCCCCCCCCC(=O)O</v>
      </c>
      <c r="K652">
        <v>32</v>
      </c>
      <c r="M652">
        <f t="shared" si="42"/>
        <v>0.83775464848239545</v>
      </c>
      <c r="N652">
        <f t="shared" si="43"/>
        <v>-0.177286229989504</v>
      </c>
    </row>
    <row r="653" spans="1:14" x14ac:dyDescent="0.35">
      <c r="A653">
        <v>651</v>
      </c>
      <c r="B653" t="s">
        <v>11</v>
      </c>
      <c r="C653" t="s">
        <v>44</v>
      </c>
      <c r="D653">
        <v>0.33333333333333331</v>
      </c>
      <c r="E653">
        <v>0.66666666666666674</v>
      </c>
      <c r="F653">
        <v>323.14999999999998</v>
      </c>
      <c r="G653">
        <v>885</v>
      </c>
      <c r="H653">
        <f t="shared" si="40"/>
        <v>-2.5549000216085354</v>
      </c>
      <c r="I653">
        <v>7.7700000000000005E-2</v>
      </c>
      <c r="J653" t="str">
        <f t="shared" si="41"/>
        <v>CCCC[N+](CCCC)(CCCC)CCCC.[Br-]CCCCCCCCCC(=O)O</v>
      </c>
      <c r="K653">
        <v>32</v>
      </c>
      <c r="M653">
        <f t="shared" si="42"/>
        <v>0.83775464848239545</v>
      </c>
      <c r="N653">
        <f t="shared" si="43"/>
        <v>-0.1263912503348075</v>
      </c>
    </row>
    <row r="654" spans="1:14" x14ac:dyDescent="0.35">
      <c r="A654">
        <v>652</v>
      </c>
      <c r="B654" t="s">
        <v>11</v>
      </c>
      <c r="C654" t="s">
        <v>44</v>
      </c>
      <c r="D654">
        <v>0.33333333333333331</v>
      </c>
      <c r="E654">
        <v>0.66666666666666674</v>
      </c>
      <c r="F654">
        <v>323.14999999999998</v>
      </c>
      <c r="G654">
        <v>1047</v>
      </c>
      <c r="H654">
        <f t="shared" si="40"/>
        <v>-2.4001979218610461</v>
      </c>
      <c r="I654">
        <v>9.0700000000000003E-2</v>
      </c>
      <c r="J654" t="str">
        <f t="shared" si="41"/>
        <v>CCCC[N+](CCCC)(CCCC)CCCC.[Br-]CCCCCCCCCC(=O)O</v>
      </c>
      <c r="K654">
        <v>32</v>
      </c>
      <c r="M654">
        <f t="shared" si="42"/>
        <v>0.83775464848239545</v>
      </c>
      <c r="N654">
        <f t="shared" si="43"/>
        <v>-3.5787000839633515E-2</v>
      </c>
    </row>
    <row r="655" spans="1:14" x14ac:dyDescent="0.35">
      <c r="A655">
        <v>653</v>
      </c>
      <c r="B655" t="s">
        <v>11</v>
      </c>
      <c r="C655" t="s">
        <v>44</v>
      </c>
      <c r="D655">
        <v>0.33333333333333331</v>
      </c>
      <c r="E655">
        <v>0.66666666666666674</v>
      </c>
      <c r="F655">
        <v>323.14999999999998</v>
      </c>
      <c r="G655">
        <v>1129</v>
      </c>
      <c r="H655">
        <f t="shared" si="40"/>
        <v>-2.3320139036848579</v>
      </c>
      <c r="I655">
        <v>9.7100000000000006E-2</v>
      </c>
      <c r="J655" t="str">
        <f t="shared" si="41"/>
        <v>CCCC[N+](CCCC)(CCCC)CCCC.[Br-]CCCCCCCCCC(=O)O</v>
      </c>
      <c r="K655">
        <v>32</v>
      </c>
      <c r="M655">
        <f t="shared" si="42"/>
        <v>0.83775464848239545</v>
      </c>
      <c r="N655">
        <f t="shared" si="43"/>
        <v>1.0074409398664427E-2</v>
      </c>
    </row>
    <row r="656" spans="1:14" x14ac:dyDescent="0.35">
      <c r="A656">
        <v>654</v>
      </c>
      <c r="B656" t="s">
        <v>11</v>
      </c>
      <c r="C656" t="s">
        <v>51</v>
      </c>
      <c r="D656">
        <v>0.33333333333333331</v>
      </c>
      <c r="E656">
        <v>0.66666666666666674</v>
      </c>
      <c r="F656">
        <v>303.14999999999998</v>
      </c>
      <c r="G656">
        <v>474</v>
      </c>
      <c r="H656">
        <f t="shared" si="40"/>
        <v>-2.96</v>
      </c>
      <c r="I656">
        <v>5.1818917172725833E-2</v>
      </c>
      <c r="J656" t="str">
        <f t="shared" si="41"/>
        <v>CCCC[N+](CCCC)(CCCC)CCCC.[Br-]CCCCCC(=O)O</v>
      </c>
      <c r="K656">
        <v>31</v>
      </c>
      <c r="M656">
        <f t="shared" si="42"/>
        <v>-0.72967870461249518</v>
      </c>
      <c r="N656">
        <f t="shared" si="43"/>
        <v>-0.35625758701700816</v>
      </c>
    </row>
    <row r="657" spans="1:14" x14ac:dyDescent="0.35">
      <c r="A657">
        <v>655</v>
      </c>
      <c r="B657" t="s">
        <v>11</v>
      </c>
      <c r="C657" t="s">
        <v>51</v>
      </c>
      <c r="D657">
        <v>0.33333333333333331</v>
      </c>
      <c r="E657">
        <v>0.66666666666666674</v>
      </c>
      <c r="F657">
        <v>303.14999999999998</v>
      </c>
      <c r="G657">
        <v>543</v>
      </c>
      <c r="H657">
        <f t="shared" si="40"/>
        <v>-2.7774002792370034</v>
      </c>
      <c r="I657">
        <v>6.2199999999999998E-2</v>
      </c>
      <c r="J657" t="str">
        <f t="shared" si="41"/>
        <v>CCCC[N+](CCCC)(CCCC)CCCC.[Br-]CCCCCC(=O)O</v>
      </c>
      <c r="K657">
        <v>31</v>
      </c>
      <c r="M657">
        <f t="shared" si="42"/>
        <v>-0.72967870461249518</v>
      </c>
      <c r="N657">
        <f t="shared" si="43"/>
        <v>-0.31766688815795258</v>
      </c>
    </row>
    <row r="658" spans="1:14" x14ac:dyDescent="0.35">
      <c r="A658">
        <v>656</v>
      </c>
      <c r="B658" t="s">
        <v>11</v>
      </c>
      <c r="C658" t="s">
        <v>51</v>
      </c>
      <c r="D658">
        <v>0.33333333333333331</v>
      </c>
      <c r="E658">
        <v>0.66666666666666674</v>
      </c>
      <c r="F658">
        <v>303.14999999999998</v>
      </c>
      <c r="G658">
        <v>629</v>
      </c>
      <c r="H658">
        <f t="shared" si="40"/>
        <v>-2.6780060797538336</v>
      </c>
      <c r="I658">
        <v>6.8699999999999997E-2</v>
      </c>
      <c r="J658" t="str">
        <f t="shared" si="41"/>
        <v>CCCC[N+](CCCC)(CCCC)CCCC.[Br-]CCCCCC(=O)O</v>
      </c>
      <c r="K658">
        <v>31</v>
      </c>
      <c r="M658">
        <f t="shared" si="42"/>
        <v>-0.72967870461249518</v>
      </c>
      <c r="N658">
        <f t="shared" si="43"/>
        <v>-0.26956833595681085</v>
      </c>
    </row>
    <row r="659" spans="1:14" x14ac:dyDescent="0.35">
      <c r="A659">
        <v>657</v>
      </c>
      <c r="B659" t="s">
        <v>11</v>
      </c>
      <c r="C659" t="s">
        <v>51</v>
      </c>
      <c r="D659">
        <v>0.33333333333333331</v>
      </c>
      <c r="E659">
        <v>0.66666666666666674</v>
      </c>
      <c r="F659">
        <v>303.14999999999998</v>
      </c>
      <c r="G659">
        <v>722</v>
      </c>
      <c r="H659">
        <f t="shared" si="40"/>
        <v>-2.5370424042085289</v>
      </c>
      <c r="I659">
        <v>7.9100000000000004E-2</v>
      </c>
      <c r="J659" t="str">
        <f t="shared" si="41"/>
        <v>CCCC[N+](CCCC)(CCCC)CCCC.[Br-]CCCCCC(=O)O</v>
      </c>
      <c r="K659">
        <v>31</v>
      </c>
      <c r="M659">
        <f t="shared" si="42"/>
        <v>-0.72967870461249518</v>
      </c>
      <c r="N659">
        <f t="shared" si="43"/>
        <v>-0.21755478532069245</v>
      </c>
    </row>
    <row r="660" spans="1:14" x14ac:dyDescent="0.35">
      <c r="A660">
        <v>658</v>
      </c>
      <c r="B660" t="s">
        <v>11</v>
      </c>
      <c r="C660" t="s">
        <v>51</v>
      </c>
      <c r="D660">
        <v>0.33333333333333331</v>
      </c>
      <c r="E660">
        <v>0.66666666666666674</v>
      </c>
      <c r="F660">
        <v>303.14999999999998</v>
      </c>
      <c r="G660">
        <v>825</v>
      </c>
      <c r="H660">
        <f t="shared" si="40"/>
        <v>-2.4338333796039997</v>
      </c>
      <c r="I660">
        <v>8.77E-2</v>
      </c>
      <c r="J660" t="str">
        <f t="shared" si="41"/>
        <v>CCCC[N+](CCCC)(CCCC)CCCC.[Br-]CCCCCC(=O)O</v>
      </c>
      <c r="K660">
        <v>31</v>
      </c>
      <c r="M660">
        <f t="shared" si="42"/>
        <v>-0.72967870461249518</v>
      </c>
      <c r="N660">
        <f t="shared" si="43"/>
        <v>-0.15994837977746454</v>
      </c>
    </row>
    <row r="661" spans="1:14" x14ac:dyDescent="0.35">
      <c r="A661">
        <v>659</v>
      </c>
      <c r="B661" t="s">
        <v>11</v>
      </c>
      <c r="C661" t="s">
        <v>51</v>
      </c>
      <c r="D661">
        <v>0.33333333333333331</v>
      </c>
      <c r="E661">
        <v>0.66666666666666674</v>
      </c>
      <c r="F661">
        <v>303.14999999999998</v>
      </c>
      <c r="G661">
        <v>1058</v>
      </c>
      <c r="H661">
        <f t="shared" si="40"/>
        <v>-2.1777161109481766</v>
      </c>
      <c r="I661">
        <v>0.1133</v>
      </c>
      <c r="J661" t="str">
        <f t="shared" si="41"/>
        <v>CCCC[N+](CCCC)(CCCC)CCCC.[Br-]CCCCCC(=O)O</v>
      </c>
      <c r="K661">
        <v>31</v>
      </c>
      <c r="M661">
        <f t="shared" si="42"/>
        <v>-0.72967870461249518</v>
      </c>
      <c r="N661">
        <f t="shared" si="43"/>
        <v>-2.9634860441813061E-2</v>
      </c>
    </row>
    <row r="662" spans="1:14" x14ac:dyDescent="0.35">
      <c r="A662">
        <v>660</v>
      </c>
      <c r="B662" t="s">
        <v>11</v>
      </c>
      <c r="C662" t="s">
        <v>51</v>
      </c>
      <c r="D662">
        <v>0.33333333333333331</v>
      </c>
      <c r="E662">
        <v>0.66666666666666674</v>
      </c>
      <c r="F662">
        <v>303.14999999999998</v>
      </c>
      <c r="G662">
        <v>1103</v>
      </c>
      <c r="H662">
        <f t="shared" si="40"/>
        <v>-2.1111386284230904</v>
      </c>
      <c r="I662">
        <v>0.1211</v>
      </c>
      <c r="J662" t="str">
        <f t="shared" si="41"/>
        <v>CCCC[N+](CCCC)(CCCC)CCCC.[Br-]CCCCCC(=O)O</v>
      </c>
      <c r="K662">
        <v>31</v>
      </c>
      <c r="M662">
        <f t="shared" si="42"/>
        <v>-0.72967870461249518</v>
      </c>
      <c r="N662">
        <f t="shared" si="43"/>
        <v>-4.4670133598202861E-3</v>
      </c>
    </row>
    <row r="663" spans="1:14" x14ac:dyDescent="0.35">
      <c r="A663">
        <v>661</v>
      </c>
      <c r="B663" t="s">
        <v>11</v>
      </c>
      <c r="C663" t="s">
        <v>51</v>
      </c>
      <c r="D663">
        <v>0.33333333333333331</v>
      </c>
      <c r="E663">
        <v>0.66666666666666674</v>
      </c>
      <c r="F663">
        <v>313.14999999999998</v>
      </c>
      <c r="G663">
        <v>444</v>
      </c>
      <c r="H663">
        <f t="shared" si="40"/>
        <v>-3.1844743981508685</v>
      </c>
      <c r="I663">
        <v>4.1399999999999999E-2</v>
      </c>
      <c r="J663" t="str">
        <f t="shared" si="41"/>
        <v>CCCC[N+](CCCC)(CCCC)CCCC.[Br-]CCCCCC(=O)O</v>
      </c>
      <c r="K663">
        <v>31</v>
      </c>
      <c r="M663">
        <f t="shared" si="42"/>
        <v>5.4037971934950142E-2</v>
      </c>
      <c r="N663">
        <f t="shared" si="43"/>
        <v>-0.37303615173833671</v>
      </c>
    </row>
    <row r="664" spans="1:14" x14ac:dyDescent="0.35">
      <c r="A664">
        <v>662</v>
      </c>
      <c r="B664" t="s">
        <v>11</v>
      </c>
      <c r="C664" t="s">
        <v>51</v>
      </c>
      <c r="D664">
        <v>0.33333333333333331</v>
      </c>
      <c r="E664">
        <v>0.66666666666666674</v>
      </c>
      <c r="F664">
        <v>313.14999999999998</v>
      </c>
      <c r="G664">
        <v>534</v>
      </c>
      <c r="H664">
        <f t="shared" si="40"/>
        <v>-3.02</v>
      </c>
      <c r="I664">
        <v>4.8801218362012962E-2</v>
      </c>
      <c r="J664" t="str">
        <f t="shared" si="41"/>
        <v>CCCC[N+](CCCC)(CCCC)CCCC.[Br-]CCCCCC(=O)O</v>
      </c>
      <c r="K664">
        <v>31</v>
      </c>
      <c r="M664">
        <f t="shared" si="42"/>
        <v>5.4037971934950142E-2</v>
      </c>
      <c r="N664">
        <f t="shared" si="43"/>
        <v>-0.32270045757435112</v>
      </c>
    </row>
    <row r="665" spans="1:14" x14ac:dyDescent="0.35">
      <c r="A665">
        <v>663</v>
      </c>
      <c r="B665" t="s">
        <v>11</v>
      </c>
      <c r="C665" t="s">
        <v>51</v>
      </c>
      <c r="D665">
        <v>0.33333333333333331</v>
      </c>
      <c r="E665">
        <v>0.66666666666666674</v>
      </c>
      <c r="F665">
        <v>313.14999999999998</v>
      </c>
      <c r="G665">
        <v>657</v>
      </c>
      <c r="H665">
        <f t="shared" si="40"/>
        <v>-2.8117454374409752</v>
      </c>
      <c r="I665">
        <v>6.0100000000000001E-2</v>
      </c>
      <c r="J665" t="str">
        <f t="shared" si="41"/>
        <v>CCCC[N+](CCCC)(CCCC)CCCC.[Br-]CCCCCC(=O)O</v>
      </c>
      <c r="K665">
        <v>31</v>
      </c>
      <c r="M665">
        <f t="shared" si="42"/>
        <v>5.4037971934950142E-2</v>
      </c>
      <c r="N665">
        <f t="shared" si="43"/>
        <v>-0.25390834221690423</v>
      </c>
    </row>
    <row r="666" spans="1:14" x14ac:dyDescent="0.35">
      <c r="A666">
        <v>664</v>
      </c>
      <c r="B666" t="s">
        <v>11</v>
      </c>
      <c r="C666" t="s">
        <v>51</v>
      </c>
      <c r="D666">
        <v>0.33333333333333331</v>
      </c>
      <c r="E666">
        <v>0.66666666666666674</v>
      </c>
      <c r="F666">
        <v>313.14999999999998</v>
      </c>
      <c r="G666">
        <v>809</v>
      </c>
      <c r="H666">
        <f t="shared" si="40"/>
        <v>-2.6283152330833564</v>
      </c>
      <c r="I666">
        <v>7.22E-2</v>
      </c>
      <c r="J666" t="str">
        <f t="shared" si="41"/>
        <v>CCCC[N+](CCCC)(CCCC)CCCC.[Br-]CCCCCC(=O)O</v>
      </c>
      <c r="K666">
        <v>31</v>
      </c>
      <c r="M666">
        <f t="shared" si="42"/>
        <v>5.4037971934950142E-2</v>
      </c>
      <c r="N666">
        <f t="shared" si="43"/>
        <v>-0.16889694762883975</v>
      </c>
    </row>
    <row r="667" spans="1:14" x14ac:dyDescent="0.35">
      <c r="A667">
        <v>665</v>
      </c>
      <c r="B667" t="s">
        <v>11</v>
      </c>
      <c r="C667" t="s">
        <v>51</v>
      </c>
      <c r="D667">
        <v>0.33333333333333331</v>
      </c>
      <c r="E667">
        <v>0.66666666666666674</v>
      </c>
      <c r="F667">
        <v>313.14999999999998</v>
      </c>
      <c r="G667">
        <v>942</v>
      </c>
      <c r="H667">
        <f t="shared" si="40"/>
        <v>-2.4710037446190087</v>
      </c>
      <c r="I667">
        <v>8.4500000000000006E-2</v>
      </c>
      <c r="J667" t="str">
        <f t="shared" si="41"/>
        <v>CCCC[N+](CCCC)(CCCC)CCCC.[Br-]CCCCCC(=O)O</v>
      </c>
      <c r="K667">
        <v>31</v>
      </c>
      <c r="M667">
        <f t="shared" si="42"/>
        <v>5.4037971934950142E-2</v>
      </c>
      <c r="N667">
        <f t="shared" si="43"/>
        <v>-9.4511977364283323E-2</v>
      </c>
    </row>
    <row r="668" spans="1:14" x14ac:dyDescent="0.35">
      <c r="A668">
        <v>666</v>
      </c>
      <c r="B668" t="s">
        <v>11</v>
      </c>
      <c r="C668" t="s">
        <v>51</v>
      </c>
      <c r="D668">
        <v>0.33333333333333331</v>
      </c>
      <c r="E668">
        <v>0.66666666666666674</v>
      </c>
      <c r="F668">
        <v>313.14999999999998</v>
      </c>
      <c r="G668">
        <v>1056</v>
      </c>
      <c r="H668">
        <f t="shared" si="40"/>
        <v>-2.4079456086518722</v>
      </c>
      <c r="I668">
        <v>0.09</v>
      </c>
      <c r="J668" t="str">
        <f t="shared" si="41"/>
        <v>CCCC[N+](CCCC)(CCCC)CCCC.[Br-]CCCCCC(=O)O</v>
      </c>
      <c r="K668">
        <v>31</v>
      </c>
      <c r="M668">
        <f t="shared" si="42"/>
        <v>5.4037971934950142E-2</v>
      </c>
      <c r="N668">
        <f t="shared" si="43"/>
        <v>-3.0753431423234962E-2</v>
      </c>
    </row>
    <row r="669" spans="1:14" x14ac:dyDescent="0.35">
      <c r="A669">
        <v>667</v>
      </c>
      <c r="B669" t="s">
        <v>11</v>
      </c>
      <c r="C669" t="s">
        <v>51</v>
      </c>
      <c r="D669">
        <v>0.33333333333333331</v>
      </c>
      <c r="E669">
        <v>0.66666666666666674</v>
      </c>
      <c r="F669">
        <v>313.14999999999998</v>
      </c>
      <c r="G669">
        <v>1110</v>
      </c>
      <c r="H669">
        <f t="shared" si="40"/>
        <v>-2.3392490773656371</v>
      </c>
      <c r="I669">
        <v>9.64E-2</v>
      </c>
      <c r="J669" t="str">
        <f t="shared" si="41"/>
        <v>CCCC[N+](CCCC)(CCCC)CCCC.[Br-]CCCCCC(=O)O</v>
      </c>
      <c r="K669">
        <v>31</v>
      </c>
      <c r="M669">
        <f t="shared" si="42"/>
        <v>5.4037971934950142E-2</v>
      </c>
      <c r="N669">
        <f t="shared" si="43"/>
        <v>-5.5201492484363275E-4</v>
      </c>
    </row>
    <row r="670" spans="1:14" x14ac:dyDescent="0.35">
      <c r="A670">
        <v>668</v>
      </c>
      <c r="B670" t="s">
        <v>11</v>
      </c>
      <c r="C670" t="s">
        <v>51</v>
      </c>
      <c r="D670">
        <v>0.33333333333333331</v>
      </c>
      <c r="E670">
        <v>0.66666666666666674</v>
      </c>
      <c r="F670">
        <v>323.14999999999998</v>
      </c>
      <c r="G670">
        <v>480</v>
      </c>
      <c r="H670">
        <f t="shared" si="40"/>
        <v>-3.3077070385748164</v>
      </c>
      <c r="I670">
        <v>3.6600000000000001E-2</v>
      </c>
      <c r="J670" t="str">
        <f t="shared" si="41"/>
        <v>CCCC[N+](CCCC)(CCCC)CCCC.[Br-]CCCCCC(=O)O</v>
      </c>
      <c r="K670">
        <v>31</v>
      </c>
      <c r="M670">
        <f t="shared" si="42"/>
        <v>0.83775464848239545</v>
      </c>
      <c r="N670">
        <f t="shared" si="43"/>
        <v>-0.35290187407274248</v>
      </c>
    </row>
    <row r="671" spans="1:14" x14ac:dyDescent="0.35">
      <c r="A671">
        <v>669</v>
      </c>
      <c r="B671" t="s">
        <v>11</v>
      </c>
      <c r="C671" t="s">
        <v>51</v>
      </c>
      <c r="D671">
        <v>0.33333333333333331</v>
      </c>
      <c r="E671">
        <v>0.66666666666666674</v>
      </c>
      <c r="F671">
        <v>323.14999999999998</v>
      </c>
      <c r="G671">
        <v>558</v>
      </c>
      <c r="H671">
        <f t="shared" si="40"/>
        <v>-3.1326981286271485</v>
      </c>
      <c r="I671">
        <v>4.36E-2</v>
      </c>
      <c r="J671" t="str">
        <f t="shared" si="41"/>
        <v>CCCC[N+](CCCC)(CCCC)CCCC.[Br-]CCCCCC(=O)O</v>
      </c>
      <c r="K671">
        <v>31</v>
      </c>
      <c r="M671">
        <f t="shared" si="42"/>
        <v>0.83775464848239545</v>
      </c>
      <c r="N671">
        <f t="shared" si="43"/>
        <v>-0.3092776057972883</v>
      </c>
    </row>
    <row r="672" spans="1:14" x14ac:dyDescent="0.35">
      <c r="A672">
        <v>670</v>
      </c>
      <c r="B672" t="s">
        <v>11</v>
      </c>
      <c r="C672" t="s">
        <v>51</v>
      </c>
      <c r="D672">
        <v>0.33333333333333331</v>
      </c>
      <c r="E672">
        <v>0.66666666666666674</v>
      </c>
      <c r="F672">
        <v>323.14999999999998</v>
      </c>
      <c r="G672">
        <v>653</v>
      </c>
      <c r="H672">
        <f t="shared" si="40"/>
        <v>-2.985781942700823</v>
      </c>
      <c r="I672">
        <v>5.0500000000000003E-2</v>
      </c>
      <c r="J672" t="str">
        <f t="shared" si="41"/>
        <v>CCCC[N+](CCCC)(CCCC)CCCC.[Br-]CCCCCC(=O)O</v>
      </c>
      <c r="K672">
        <v>31</v>
      </c>
      <c r="M672">
        <f t="shared" si="42"/>
        <v>0.83775464848239545</v>
      </c>
      <c r="N672">
        <f t="shared" si="43"/>
        <v>-0.25614548417974803</v>
      </c>
    </row>
    <row r="673" spans="1:14" x14ac:dyDescent="0.35">
      <c r="A673">
        <v>671</v>
      </c>
      <c r="B673" t="s">
        <v>11</v>
      </c>
      <c r="C673" t="s">
        <v>51</v>
      </c>
      <c r="D673">
        <v>0.33333333333333331</v>
      </c>
      <c r="E673">
        <v>0.66666666666666674</v>
      </c>
      <c r="F673">
        <v>323.14999999999998</v>
      </c>
      <c r="G673">
        <v>745</v>
      </c>
      <c r="H673">
        <f t="shared" si="40"/>
        <v>-2.87</v>
      </c>
      <c r="I673">
        <v>5.6698926579846903E-2</v>
      </c>
      <c r="J673" t="str">
        <f t="shared" si="41"/>
        <v>CCCC[N+](CCCC)(CCCC)CCCC.[Br-]CCCCCC(=O)O</v>
      </c>
      <c r="K673">
        <v>31</v>
      </c>
      <c r="M673">
        <f t="shared" si="42"/>
        <v>0.83775464848239545</v>
      </c>
      <c r="N673">
        <f t="shared" si="43"/>
        <v>-0.20469121903434057</v>
      </c>
    </row>
    <row r="674" spans="1:14" x14ac:dyDescent="0.35">
      <c r="A674">
        <v>672</v>
      </c>
      <c r="B674" t="s">
        <v>11</v>
      </c>
      <c r="C674" t="s">
        <v>51</v>
      </c>
      <c r="D674">
        <v>0.33333333333333331</v>
      </c>
      <c r="E674">
        <v>0.66666666666666674</v>
      </c>
      <c r="F674">
        <v>323.14999999999998</v>
      </c>
      <c r="G674">
        <v>834</v>
      </c>
      <c r="H674">
        <f t="shared" si="40"/>
        <v>-2.7968814148088259</v>
      </c>
      <c r="I674">
        <v>6.0999999999999999E-2</v>
      </c>
      <c r="J674" t="str">
        <f t="shared" si="41"/>
        <v>CCCC[N+](CCCC)(CCCC)CCCC.[Br-]CCCCCC(=O)O</v>
      </c>
      <c r="K674">
        <v>31</v>
      </c>
      <c r="M674">
        <f t="shared" si="42"/>
        <v>0.83775464848239545</v>
      </c>
      <c r="N674">
        <f t="shared" si="43"/>
        <v>-0.15491481036106597</v>
      </c>
    </row>
    <row r="675" spans="1:14" x14ac:dyDescent="0.35">
      <c r="A675">
        <v>673</v>
      </c>
      <c r="B675" t="s">
        <v>11</v>
      </c>
      <c r="C675" t="s">
        <v>51</v>
      </c>
      <c r="D675">
        <v>0.33333333333333331</v>
      </c>
      <c r="E675">
        <v>0.66666666666666674</v>
      </c>
      <c r="F675">
        <v>323.14999999999998</v>
      </c>
      <c r="G675">
        <v>959</v>
      </c>
      <c r="H675">
        <f t="shared" si="40"/>
        <v>-2.7015712350045007</v>
      </c>
      <c r="I675">
        <v>6.7100000000000007E-2</v>
      </c>
      <c r="J675" t="str">
        <f t="shared" si="41"/>
        <v>CCCC[N+](CCCC)(CCCC)CCCC.[Br-]CCCCCC(=O)O</v>
      </c>
      <c r="K675">
        <v>31</v>
      </c>
      <c r="M675">
        <f t="shared" si="42"/>
        <v>0.83775464848239545</v>
      </c>
      <c r="N675">
        <f t="shared" si="43"/>
        <v>-8.5004124022197161E-2</v>
      </c>
    </row>
    <row r="676" spans="1:14" x14ac:dyDescent="0.35">
      <c r="A676">
        <v>674</v>
      </c>
      <c r="B676" t="s">
        <v>11</v>
      </c>
      <c r="C676" t="s">
        <v>51</v>
      </c>
      <c r="D676">
        <v>0.33333333333333331</v>
      </c>
      <c r="E676">
        <v>0.66666666666666674</v>
      </c>
      <c r="F676">
        <v>323.14999999999998</v>
      </c>
      <c r="G676">
        <v>1105</v>
      </c>
      <c r="H676">
        <f t="shared" si="40"/>
        <v>-2.5433835795469761</v>
      </c>
      <c r="I676">
        <v>7.8600000000000003E-2</v>
      </c>
      <c r="J676" t="str">
        <f t="shared" si="41"/>
        <v>CCCC[N+](CCCC)(CCCC)CCCC.[Br-]CCCCCC(=O)O</v>
      </c>
      <c r="K676">
        <v>31</v>
      </c>
      <c r="M676">
        <f t="shared" si="42"/>
        <v>0.83775464848239545</v>
      </c>
      <c r="N676">
        <f t="shared" si="43"/>
        <v>-3.3484423783983856E-3</v>
      </c>
    </row>
    <row r="677" spans="1:14" x14ac:dyDescent="0.35">
      <c r="A677">
        <v>675</v>
      </c>
      <c r="B677" t="s">
        <v>4</v>
      </c>
      <c r="C677" t="s">
        <v>70</v>
      </c>
      <c r="D677">
        <v>0.33333333333333331</v>
      </c>
      <c r="E677">
        <v>0.66666666666666674</v>
      </c>
      <c r="F677">
        <v>298.14999999999998</v>
      </c>
      <c r="G677">
        <v>210</v>
      </c>
      <c r="H677">
        <f t="shared" si="40"/>
        <v>-4.95</v>
      </c>
      <c r="I677">
        <v>7.0834089290521185E-3</v>
      </c>
      <c r="J677" t="str">
        <f t="shared" si="41"/>
        <v>C[N+](C)(CCO)CC1=CC=CC=C1.[Cl-]CC(=O)O</v>
      </c>
      <c r="K677">
        <v>91</v>
      </c>
      <c r="M677">
        <f t="shared" si="42"/>
        <v>-1.1215370428862177</v>
      </c>
      <c r="N677">
        <f t="shared" si="43"/>
        <v>-0.50390895656469914</v>
      </c>
    </row>
    <row r="678" spans="1:14" x14ac:dyDescent="0.35">
      <c r="A678">
        <v>676</v>
      </c>
      <c r="B678" t="s">
        <v>4</v>
      </c>
      <c r="C678" t="s">
        <v>70</v>
      </c>
      <c r="D678">
        <v>0.33333333333333331</v>
      </c>
      <c r="E678">
        <v>0.66666666666666674</v>
      </c>
      <c r="F678">
        <v>298.14999999999998</v>
      </c>
      <c r="G678">
        <v>533</v>
      </c>
      <c r="H678">
        <f t="shared" si="40"/>
        <v>-3.83</v>
      </c>
      <c r="I678">
        <v>2.1709615629848571E-2</v>
      </c>
      <c r="J678" t="str">
        <f t="shared" si="41"/>
        <v>C[N+](C)(CCO)CC1=CC=CC=C1.[Cl-]CC(=O)O</v>
      </c>
      <c r="K678">
        <v>91</v>
      </c>
      <c r="M678">
        <f t="shared" si="42"/>
        <v>-1.1215370428862177</v>
      </c>
      <c r="N678">
        <f t="shared" si="43"/>
        <v>-0.32325974306506211</v>
      </c>
    </row>
    <row r="679" spans="1:14" x14ac:dyDescent="0.35">
      <c r="A679">
        <v>677</v>
      </c>
      <c r="B679" t="s">
        <v>4</v>
      </c>
      <c r="C679" t="s">
        <v>70</v>
      </c>
      <c r="D679">
        <v>0.33333333333333331</v>
      </c>
      <c r="E679">
        <v>0.66666666666666674</v>
      </c>
      <c r="F679">
        <v>298.14999999999998</v>
      </c>
      <c r="G679">
        <v>857</v>
      </c>
      <c r="H679">
        <f t="shared" si="40"/>
        <v>-3.39</v>
      </c>
      <c r="I679">
        <v>3.3708676899572396E-2</v>
      </c>
      <c r="J679" t="str">
        <f t="shared" si="41"/>
        <v>C[N+](C)(CCO)CC1=CC=CC=C1.[Cl-]CC(=O)O</v>
      </c>
      <c r="K679">
        <v>91</v>
      </c>
      <c r="M679">
        <f t="shared" si="42"/>
        <v>-1.1215370428862177</v>
      </c>
      <c r="N679">
        <f t="shared" si="43"/>
        <v>-0.14205124407471412</v>
      </c>
    </row>
    <row r="680" spans="1:14" x14ac:dyDescent="0.35">
      <c r="A680">
        <v>678</v>
      </c>
      <c r="B680" t="s">
        <v>4</v>
      </c>
      <c r="C680" t="s">
        <v>70</v>
      </c>
      <c r="D680">
        <v>0.33333333333333331</v>
      </c>
      <c r="E680">
        <v>0.66666666666666674</v>
      </c>
      <c r="F680">
        <v>298.14999999999998</v>
      </c>
      <c r="G680">
        <v>1167</v>
      </c>
      <c r="H680">
        <f t="shared" si="40"/>
        <v>-3.01</v>
      </c>
      <c r="I680">
        <v>4.9291678760462171E-2</v>
      </c>
      <c r="J680" t="str">
        <f t="shared" si="41"/>
        <v>C[N+](C)(CCO)CC1=CC=CC=C1.[Cl-]CC(=O)O</v>
      </c>
      <c r="K680">
        <v>91</v>
      </c>
      <c r="M680">
        <f t="shared" si="42"/>
        <v>-1.1215370428862177</v>
      </c>
      <c r="N680">
        <f t="shared" si="43"/>
        <v>3.1327258045680546E-2</v>
      </c>
    </row>
    <row r="681" spans="1:14" x14ac:dyDescent="0.35">
      <c r="A681">
        <v>679</v>
      </c>
      <c r="B681" t="s">
        <v>4</v>
      </c>
      <c r="C681" t="s">
        <v>70</v>
      </c>
      <c r="D681">
        <v>0.33333333333333331</v>
      </c>
      <c r="E681">
        <v>0.66666666666666674</v>
      </c>
      <c r="F681">
        <v>298.14999999999998</v>
      </c>
      <c r="G681">
        <v>1440</v>
      </c>
      <c r="H681">
        <f t="shared" si="40"/>
        <v>-2.73</v>
      </c>
      <c r="I681">
        <v>6.5219289668127525E-2</v>
      </c>
      <c r="J681" t="str">
        <f t="shared" si="41"/>
        <v>C[N+](C)(CCO)CC1=CC=CC=C1.[Cl-]CC(=O)O</v>
      </c>
      <c r="K681">
        <v>91</v>
      </c>
      <c r="M681">
        <f t="shared" si="42"/>
        <v>-1.1215370428862177</v>
      </c>
      <c r="N681">
        <f t="shared" si="43"/>
        <v>0.18401219700977003</v>
      </c>
    </row>
    <row r="682" spans="1:14" x14ac:dyDescent="0.35">
      <c r="A682">
        <v>680</v>
      </c>
      <c r="B682" t="s">
        <v>4</v>
      </c>
      <c r="C682" t="s">
        <v>70</v>
      </c>
      <c r="D682">
        <v>0.33333333333333331</v>
      </c>
      <c r="E682">
        <v>0.66666666666666674</v>
      </c>
      <c r="F682">
        <v>298.14999999999998</v>
      </c>
      <c r="G682">
        <v>1771</v>
      </c>
      <c r="H682">
        <f t="shared" si="40"/>
        <v>-2.5299999999999998</v>
      </c>
      <c r="I682">
        <v>7.9659020285898038E-2</v>
      </c>
      <c r="J682" t="str">
        <f t="shared" si="41"/>
        <v>C[N+](C)(CCO)CC1=CC=CC=C1.[Cl-]CC(=O)O</v>
      </c>
      <c r="K682">
        <v>91</v>
      </c>
      <c r="M682">
        <f t="shared" si="42"/>
        <v>-1.1215370428862177</v>
      </c>
      <c r="N682">
        <f t="shared" si="43"/>
        <v>0.36913569443509464</v>
      </c>
    </row>
    <row r="683" spans="1:14" x14ac:dyDescent="0.35">
      <c r="A683">
        <v>681</v>
      </c>
      <c r="B683" t="s">
        <v>4</v>
      </c>
      <c r="C683" t="s">
        <v>70</v>
      </c>
      <c r="D683">
        <v>0.33333333333333331</v>
      </c>
      <c r="E683">
        <v>0.66666666666666674</v>
      </c>
      <c r="F683">
        <v>298.14999999999998</v>
      </c>
      <c r="G683">
        <v>2026</v>
      </c>
      <c r="H683">
        <f t="shared" si="40"/>
        <v>-2.4500000000000002</v>
      </c>
      <c r="I683">
        <v>8.6293586499370495E-2</v>
      </c>
      <c r="J683" t="str">
        <f t="shared" si="41"/>
        <v>C[N+](C)(CCO)CC1=CC=CC=C1.[Cl-]CC(=O)O</v>
      </c>
      <c r="K683">
        <v>91</v>
      </c>
      <c r="M683">
        <f t="shared" si="42"/>
        <v>-1.1215370428862177</v>
      </c>
      <c r="N683">
        <f t="shared" si="43"/>
        <v>0.51175349456638708</v>
      </c>
    </row>
    <row r="684" spans="1:14" x14ac:dyDescent="0.35">
      <c r="A684">
        <v>682</v>
      </c>
      <c r="B684" t="s">
        <v>4</v>
      </c>
      <c r="C684" t="s">
        <v>71</v>
      </c>
      <c r="D684">
        <v>0.33333333333333331</v>
      </c>
      <c r="E684">
        <v>0.66666666666666674</v>
      </c>
      <c r="F684">
        <v>298.14999999999998</v>
      </c>
      <c r="G684">
        <v>283</v>
      </c>
      <c r="H684">
        <f t="shared" si="40"/>
        <v>-6.16</v>
      </c>
      <c r="I684">
        <v>2.1122532717327142E-3</v>
      </c>
      <c r="J684" t="str">
        <f t="shared" si="41"/>
        <v>C[N+](C)(CCO)CC1=CC=CC=C1.[Cl-]CC(C(=O)O)O</v>
      </c>
      <c r="K684">
        <v>92</v>
      </c>
      <c r="M684">
        <f t="shared" si="42"/>
        <v>-1.1215370428862177</v>
      </c>
      <c r="N684">
        <f t="shared" si="43"/>
        <v>-0.4630811157427997</v>
      </c>
    </row>
    <row r="685" spans="1:14" x14ac:dyDescent="0.35">
      <c r="A685">
        <v>683</v>
      </c>
      <c r="B685" t="s">
        <v>4</v>
      </c>
      <c r="C685" t="s">
        <v>71</v>
      </c>
      <c r="D685">
        <v>0.33333333333333331</v>
      </c>
      <c r="E685">
        <v>0.66666666666666674</v>
      </c>
      <c r="F685">
        <v>298.14999999999998</v>
      </c>
      <c r="G685">
        <v>516</v>
      </c>
      <c r="H685">
        <f t="shared" si="40"/>
        <v>-5.18</v>
      </c>
      <c r="I685">
        <v>5.6280064144040654E-3</v>
      </c>
      <c r="J685" t="str">
        <f t="shared" si="41"/>
        <v>C[N+](C)(CCO)CC1=CC=CC=C1.[Cl-]CC(C(=O)O)O</v>
      </c>
      <c r="K685">
        <v>92</v>
      </c>
      <c r="M685">
        <f t="shared" si="42"/>
        <v>-1.1215370428862177</v>
      </c>
      <c r="N685">
        <f t="shared" si="43"/>
        <v>-0.33276759640714826</v>
      </c>
    </row>
    <row r="686" spans="1:14" x14ac:dyDescent="0.35">
      <c r="A686">
        <v>684</v>
      </c>
      <c r="B686" t="s">
        <v>4</v>
      </c>
      <c r="C686" t="s">
        <v>71</v>
      </c>
      <c r="D686">
        <v>0.33333333333333331</v>
      </c>
      <c r="E686">
        <v>0.66666666666666674</v>
      </c>
      <c r="F686">
        <v>298.14999999999998</v>
      </c>
      <c r="G686">
        <v>866</v>
      </c>
      <c r="H686">
        <f t="shared" si="40"/>
        <v>-4.1500000000000004</v>
      </c>
      <c r="I686">
        <v>1.5764416484854486E-2</v>
      </c>
      <c r="J686" t="str">
        <f t="shared" si="41"/>
        <v>C[N+](C)(CCO)CC1=CC=CC=C1.[Cl-]CC(C(=O)O)O</v>
      </c>
      <c r="K686">
        <v>92</v>
      </c>
      <c r="M686">
        <f t="shared" si="42"/>
        <v>-1.1215370428862177</v>
      </c>
      <c r="N686">
        <f t="shared" si="43"/>
        <v>-0.13701767465831557</v>
      </c>
    </row>
    <row r="687" spans="1:14" x14ac:dyDescent="0.35">
      <c r="A687">
        <v>685</v>
      </c>
      <c r="B687" t="s">
        <v>4</v>
      </c>
      <c r="C687" t="s">
        <v>71</v>
      </c>
      <c r="D687">
        <v>0.33333333333333331</v>
      </c>
      <c r="E687">
        <v>0.66666666666666674</v>
      </c>
      <c r="F687">
        <v>298.14999999999998</v>
      </c>
      <c r="G687">
        <v>1134</v>
      </c>
      <c r="H687">
        <f t="shared" si="40"/>
        <v>-3.77</v>
      </c>
      <c r="I687">
        <v>2.3052063287225571E-2</v>
      </c>
      <c r="J687" t="str">
        <f t="shared" si="41"/>
        <v>C[N+](C)(CCO)CC1=CC=CC=C1.[Cl-]CC(C(=O)O)O</v>
      </c>
      <c r="K687">
        <v>92</v>
      </c>
      <c r="M687">
        <f t="shared" si="42"/>
        <v>-1.1215370428862177</v>
      </c>
      <c r="N687">
        <f t="shared" si="43"/>
        <v>1.2870836852219179E-2</v>
      </c>
    </row>
    <row r="688" spans="1:14" x14ac:dyDescent="0.35">
      <c r="A688">
        <v>686</v>
      </c>
      <c r="B688" t="s">
        <v>4</v>
      </c>
      <c r="C688" t="s">
        <v>71</v>
      </c>
      <c r="D688">
        <v>0.33333333333333331</v>
      </c>
      <c r="E688">
        <v>0.66666666666666674</v>
      </c>
      <c r="F688">
        <v>298.14999999999998</v>
      </c>
      <c r="G688">
        <v>1458</v>
      </c>
      <c r="H688">
        <f t="shared" si="40"/>
        <v>-3.34</v>
      </c>
      <c r="I688">
        <v>3.543695772159864E-2</v>
      </c>
      <c r="J688" t="str">
        <f t="shared" si="41"/>
        <v>C[N+](C)(CCO)CC1=CC=CC=C1.[Cl-]CC(C(=O)O)O</v>
      </c>
      <c r="K688">
        <v>92</v>
      </c>
      <c r="M688">
        <f t="shared" si="42"/>
        <v>-1.1215370428862177</v>
      </c>
      <c r="N688">
        <f t="shared" si="43"/>
        <v>0.19407933584256715</v>
      </c>
    </row>
    <row r="689" spans="1:14" x14ac:dyDescent="0.35">
      <c r="A689">
        <v>687</v>
      </c>
      <c r="B689" t="s">
        <v>4</v>
      </c>
      <c r="C689" t="s">
        <v>71</v>
      </c>
      <c r="D689">
        <v>0.33333333333333331</v>
      </c>
      <c r="E689">
        <v>0.66666666666666674</v>
      </c>
      <c r="F689">
        <v>298.14999999999998</v>
      </c>
      <c r="G689">
        <v>1722</v>
      </c>
      <c r="H689">
        <f t="shared" si="40"/>
        <v>-3.01</v>
      </c>
      <c r="I689">
        <v>4.9291678760462171E-2</v>
      </c>
      <c r="J689" t="str">
        <f t="shared" si="41"/>
        <v>C[N+](C)(CCO)CC1=CC=CC=C1.[Cl-]CC(C(=O)O)O</v>
      </c>
      <c r="K689">
        <v>92</v>
      </c>
      <c r="M689">
        <f t="shared" si="42"/>
        <v>-1.1215370428862177</v>
      </c>
      <c r="N689">
        <f t="shared" si="43"/>
        <v>0.34173070539025807</v>
      </c>
    </row>
    <row r="690" spans="1:14" x14ac:dyDescent="0.35">
      <c r="A690">
        <v>688</v>
      </c>
      <c r="B690" t="s">
        <v>4</v>
      </c>
      <c r="C690" t="s">
        <v>71</v>
      </c>
      <c r="D690">
        <v>0.33333333333333331</v>
      </c>
      <c r="E690">
        <v>0.66666666666666674</v>
      </c>
      <c r="F690">
        <v>298.14999999999998</v>
      </c>
      <c r="G690">
        <v>2086</v>
      </c>
      <c r="H690">
        <f t="shared" si="40"/>
        <v>-2.79</v>
      </c>
      <c r="I690">
        <v>6.1421213915000127E-2</v>
      </c>
      <c r="J690" t="str">
        <f t="shared" si="41"/>
        <v>C[N+](C)(CCO)CC1=CC=CC=C1.[Cl-]CC(C(=O)O)O</v>
      </c>
      <c r="K690">
        <v>92</v>
      </c>
      <c r="M690">
        <f t="shared" si="42"/>
        <v>-1.1215370428862177</v>
      </c>
      <c r="N690">
        <f t="shared" si="43"/>
        <v>0.54531062400904406</v>
      </c>
    </row>
    <row r="691" spans="1:14" x14ac:dyDescent="0.35">
      <c r="A691">
        <v>689</v>
      </c>
      <c r="B691" t="s">
        <v>7</v>
      </c>
      <c r="C691" t="s">
        <v>58</v>
      </c>
      <c r="D691">
        <v>0.33333333333333331</v>
      </c>
      <c r="E691">
        <v>0.66666666666666674</v>
      </c>
      <c r="F691">
        <v>313.14999999999998</v>
      </c>
      <c r="G691">
        <v>1990</v>
      </c>
      <c r="H691">
        <f t="shared" si="40"/>
        <v>-2.4300000000000002</v>
      </c>
      <c r="I691">
        <v>8.8036832582372548E-2</v>
      </c>
      <c r="J691" t="str">
        <f t="shared" si="41"/>
        <v>C[N+](C)(C)CCO.[Cl-]C1=CC=C(C=C1)O</v>
      </c>
      <c r="K691">
        <v>84</v>
      </c>
      <c r="M691">
        <f t="shared" si="42"/>
        <v>5.4037971934950142E-2</v>
      </c>
      <c r="N691">
        <f t="shared" si="43"/>
        <v>0.49161921690079285</v>
      </c>
    </row>
    <row r="692" spans="1:14" x14ac:dyDescent="0.35">
      <c r="A692">
        <v>690</v>
      </c>
      <c r="B692" t="s">
        <v>7</v>
      </c>
      <c r="C692" t="s">
        <v>58</v>
      </c>
      <c r="D692">
        <v>0.33333333333333331</v>
      </c>
      <c r="E692">
        <v>0.66666666666666674</v>
      </c>
      <c r="F692">
        <v>313.14999999999998</v>
      </c>
      <c r="G692">
        <v>3460</v>
      </c>
      <c r="H692">
        <f t="shared" si="40"/>
        <v>-2.0690952496256916</v>
      </c>
      <c r="I692">
        <v>0.1263</v>
      </c>
      <c r="J692" t="str">
        <f t="shared" si="41"/>
        <v>C[N+](C)(C)CCO.[Cl-]C1=CC=C(C=C1)O</v>
      </c>
      <c r="K692">
        <v>84</v>
      </c>
      <c r="M692">
        <f t="shared" si="42"/>
        <v>5.4037971934950142E-2</v>
      </c>
      <c r="N692">
        <f t="shared" si="43"/>
        <v>1.31376888824589</v>
      </c>
    </row>
    <row r="693" spans="1:14" x14ac:dyDescent="0.35">
      <c r="A693">
        <v>691</v>
      </c>
      <c r="B693" t="s">
        <v>7</v>
      </c>
      <c r="C693" t="s">
        <v>58</v>
      </c>
      <c r="D693">
        <v>0.33333333333333331</v>
      </c>
      <c r="E693">
        <v>0.66666666666666674</v>
      </c>
      <c r="F693">
        <v>313.14999999999998</v>
      </c>
      <c r="G693">
        <v>5010</v>
      </c>
      <c r="H693">
        <f t="shared" si="40"/>
        <v>-1.831956658979468</v>
      </c>
      <c r="I693">
        <v>0.16009999999999999</v>
      </c>
      <c r="J693" t="str">
        <f t="shared" si="41"/>
        <v>C[N+](C)(C)CCO.[Cl-]C1=CC=C(C=C1)O</v>
      </c>
      <c r="K693">
        <v>84</v>
      </c>
      <c r="M693">
        <f t="shared" si="42"/>
        <v>5.4037971934950142E-2</v>
      </c>
      <c r="N693">
        <f t="shared" si="43"/>
        <v>2.1806613988478634</v>
      </c>
    </row>
    <row r="694" spans="1:14" x14ac:dyDescent="0.35">
      <c r="A694">
        <v>692</v>
      </c>
      <c r="B694" t="s">
        <v>7</v>
      </c>
      <c r="C694" t="s">
        <v>58</v>
      </c>
      <c r="D694">
        <v>0.33333333333333331</v>
      </c>
      <c r="E694">
        <v>0.66666666666666674</v>
      </c>
      <c r="F694">
        <v>313.14999999999998</v>
      </c>
      <c r="G694">
        <v>6450</v>
      </c>
      <c r="H694">
        <f t="shared" si="40"/>
        <v>-1.6814711153339321</v>
      </c>
      <c r="I694">
        <v>0.18609999999999999</v>
      </c>
      <c r="J694" t="str">
        <f t="shared" si="41"/>
        <v>C[N+](C)(C)CCO.[Cl-]C1=CC=C(C=C1)O</v>
      </c>
      <c r="K694">
        <v>84</v>
      </c>
      <c r="M694">
        <f t="shared" si="42"/>
        <v>5.4037971934950142E-2</v>
      </c>
      <c r="N694">
        <f t="shared" si="43"/>
        <v>2.9860325054716323</v>
      </c>
    </row>
    <row r="695" spans="1:14" x14ac:dyDescent="0.35">
      <c r="A695">
        <v>693</v>
      </c>
      <c r="B695" t="s">
        <v>7</v>
      </c>
      <c r="C695" t="s">
        <v>58</v>
      </c>
      <c r="D695">
        <v>0.33333333333333331</v>
      </c>
      <c r="E695">
        <v>0.66666666666666674</v>
      </c>
      <c r="F695">
        <v>313.14999999999998</v>
      </c>
      <c r="G695">
        <v>7800</v>
      </c>
      <c r="H695">
        <f t="shared" si="40"/>
        <v>-1.53991184978549</v>
      </c>
      <c r="I695">
        <v>0.21440000000000001</v>
      </c>
      <c r="J695" t="str">
        <f t="shared" si="41"/>
        <v>C[N+](C)(C)CCO.[Cl-]C1=CC=C(C=C1)O</v>
      </c>
      <c r="K695">
        <v>84</v>
      </c>
      <c r="M695">
        <f t="shared" si="42"/>
        <v>5.4037971934950142E-2</v>
      </c>
      <c r="N695">
        <f t="shared" si="43"/>
        <v>3.7410679179314155</v>
      </c>
    </row>
    <row r="696" spans="1:14" x14ac:dyDescent="0.35">
      <c r="A696">
        <v>694</v>
      </c>
      <c r="B696" t="s">
        <v>7</v>
      </c>
      <c r="C696" t="s">
        <v>58</v>
      </c>
      <c r="D696">
        <v>0.33333333333333331</v>
      </c>
      <c r="E696">
        <v>0.66666666666666674</v>
      </c>
      <c r="F696">
        <v>313.14999999999998</v>
      </c>
      <c r="G696">
        <v>8870</v>
      </c>
      <c r="H696">
        <f t="shared" si="40"/>
        <v>-1.4392732859107773</v>
      </c>
      <c r="I696">
        <v>0.23710000000000001</v>
      </c>
      <c r="J696" t="str">
        <f t="shared" si="41"/>
        <v>C[N+](C)(C)CCO.[Cl-]C1=CC=C(C=C1)O</v>
      </c>
      <c r="K696">
        <v>84</v>
      </c>
      <c r="M696">
        <f t="shared" si="42"/>
        <v>5.4037971934950142E-2</v>
      </c>
      <c r="N696">
        <f t="shared" si="43"/>
        <v>4.3395033929921327</v>
      </c>
    </row>
    <row r="697" spans="1:14" x14ac:dyDescent="0.35">
      <c r="A697">
        <v>695</v>
      </c>
      <c r="B697" t="s">
        <v>7</v>
      </c>
      <c r="C697" t="s">
        <v>58</v>
      </c>
      <c r="D697">
        <v>0.33333333333333331</v>
      </c>
      <c r="E697">
        <v>0.66666666666666674</v>
      </c>
      <c r="F697">
        <v>313.14999999999998</v>
      </c>
      <c r="G697">
        <v>10170</v>
      </c>
      <c r="H697">
        <f t="shared" si="40"/>
        <v>-1.3827008256097604</v>
      </c>
      <c r="I697">
        <v>0.25090000000000001</v>
      </c>
      <c r="J697" t="str">
        <f t="shared" si="41"/>
        <v>C[N+](C)(C)CCO.[Cl-]C1=CC=C(C=C1)O</v>
      </c>
      <c r="K697">
        <v>84</v>
      </c>
      <c r="M697">
        <f t="shared" si="42"/>
        <v>5.4037971934950142E-2</v>
      </c>
      <c r="N697">
        <f t="shared" si="43"/>
        <v>5.0665745309163679</v>
      </c>
    </row>
    <row r="698" spans="1:14" x14ac:dyDescent="0.35">
      <c r="A698">
        <v>696</v>
      </c>
      <c r="B698" t="s">
        <v>7</v>
      </c>
      <c r="C698" t="s">
        <v>58</v>
      </c>
      <c r="D698">
        <v>0.33333333333333331</v>
      </c>
      <c r="E698">
        <v>0.66666666666666674</v>
      </c>
      <c r="F698">
        <v>313.14999999999998</v>
      </c>
      <c r="G698">
        <v>12740</v>
      </c>
      <c r="H698">
        <f t="shared" si="40"/>
        <v>-1.2895306926875827</v>
      </c>
      <c r="I698">
        <v>0.27539999999999998</v>
      </c>
      <c r="J698" t="str">
        <f t="shared" si="41"/>
        <v>C[N+](C)(C)CCO.[Cl-]C1=CC=C(C=C1)O</v>
      </c>
      <c r="K698">
        <v>84</v>
      </c>
      <c r="M698">
        <f t="shared" si="42"/>
        <v>5.4037971934950142E-2</v>
      </c>
      <c r="N698">
        <f t="shared" si="43"/>
        <v>6.5039382420435112</v>
      </c>
    </row>
    <row r="699" spans="1:14" x14ac:dyDescent="0.35">
      <c r="A699">
        <v>697</v>
      </c>
      <c r="B699" t="s">
        <v>7</v>
      </c>
      <c r="C699" t="s">
        <v>58</v>
      </c>
      <c r="D699">
        <v>0.33333333333333331</v>
      </c>
      <c r="E699">
        <v>0.66666666666666674</v>
      </c>
      <c r="F699">
        <v>323.14999999999998</v>
      </c>
      <c r="G699">
        <v>1710</v>
      </c>
      <c r="H699">
        <f t="shared" si="40"/>
        <v>-2.6521425691639142</v>
      </c>
      <c r="I699">
        <v>7.0499999999999993E-2</v>
      </c>
      <c r="J699" t="str">
        <f t="shared" si="41"/>
        <v>C[N+](C)(C)CCO.[Cl-]C1=CC=C(C=C1)O</v>
      </c>
      <c r="K699">
        <v>84</v>
      </c>
      <c r="M699">
        <f t="shared" si="42"/>
        <v>0.83775464848239545</v>
      </c>
      <c r="N699">
        <f t="shared" si="43"/>
        <v>0.33501927950172666</v>
      </c>
    </row>
    <row r="700" spans="1:14" x14ac:dyDescent="0.35">
      <c r="A700">
        <v>698</v>
      </c>
      <c r="B700" t="s">
        <v>7</v>
      </c>
      <c r="C700" t="s">
        <v>58</v>
      </c>
      <c r="D700">
        <v>0.33333333333333331</v>
      </c>
      <c r="E700">
        <v>0.66666666666666674</v>
      </c>
      <c r="F700">
        <v>323.14999999999998</v>
      </c>
      <c r="G700">
        <v>2460</v>
      </c>
      <c r="H700">
        <f t="shared" si="40"/>
        <v>-2.4079456086518722</v>
      </c>
      <c r="I700">
        <v>0.09</v>
      </c>
      <c r="J700" t="str">
        <f t="shared" si="41"/>
        <v>C[N+](C)(C)CCO.[Cl-]C1=CC=C(C=C1)O</v>
      </c>
      <c r="K700">
        <v>84</v>
      </c>
      <c r="M700">
        <f t="shared" si="42"/>
        <v>0.83775464848239545</v>
      </c>
      <c r="N700">
        <f t="shared" si="43"/>
        <v>0.75448339753493954</v>
      </c>
    </row>
    <row r="701" spans="1:14" x14ac:dyDescent="0.35">
      <c r="A701">
        <v>699</v>
      </c>
      <c r="B701" t="s">
        <v>7</v>
      </c>
      <c r="C701" t="s">
        <v>58</v>
      </c>
      <c r="D701">
        <v>0.33333333333333331</v>
      </c>
      <c r="E701">
        <v>0.66666666666666674</v>
      </c>
      <c r="F701">
        <v>323.14999999999998</v>
      </c>
      <c r="G701">
        <v>4390</v>
      </c>
      <c r="H701">
        <f t="shared" si="40"/>
        <v>-1.9980459034758418</v>
      </c>
      <c r="I701">
        <v>0.1356</v>
      </c>
      <c r="J701" t="str">
        <f t="shared" si="41"/>
        <v>C[N+](C)(C)CCO.[Cl-]C1=CC=C(C=C1)O</v>
      </c>
      <c r="K701">
        <v>84</v>
      </c>
      <c r="M701">
        <f t="shared" si="42"/>
        <v>0.83775464848239545</v>
      </c>
      <c r="N701">
        <f t="shared" si="43"/>
        <v>1.8339043946070741</v>
      </c>
    </row>
    <row r="702" spans="1:14" x14ac:dyDescent="0.35">
      <c r="A702">
        <v>700</v>
      </c>
      <c r="B702" t="s">
        <v>7</v>
      </c>
      <c r="C702" t="s">
        <v>58</v>
      </c>
      <c r="D702">
        <v>0.33333333333333331</v>
      </c>
      <c r="E702">
        <v>0.66666666666666674</v>
      </c>
      <c r="F702">
        <v>323.14999999999998</v>
      </c>
      <c r="G702">
        <v>5410</v>
      </c>
      <c r="H702">
        <f t="shared" si="40"/>
        <v>-1.868856519613022</v>
      </c>
      <c r="I702">
        <v>0.15429999999999999</v>
      </c>
      <c r="J702" t="str">
        <f t="shared" si="41"/>
        <v>C[N+](C)(C)CCO.[Cl-]C1=CC=C(C=C1)O</v>
      </c>
      <c r="K702">
        <v>84</v>
      </c>
      <c r="M702">
        <f t="shared" si="42"/>
        <v>0.83775464848239545</v>
      </c>
      <c r="N702">
        <f t="shared" si="43"/>
        <v>2.4043755951322434</v>
      </c>
    </row>
    <row r="703" spans="1:14" x14ac:dyDescent="0.35">
      <c r="A703">
        <v>701</v>
      </c>
      <c r="B703" t="s">
        <v>7</v>
      </c>
      <c r="C703" t="s">
        <v>58</v>
      </c>
      <c r="D703">
        <v>0.33333333333333331</v>
      </c>
      <c r="E703">
        <v>0.66666666666666674</v>
      </c>
      <c r="F703">
        <v>323.14999999999998</v>
      </c>
      <c r="G703">
        <v>7230</v>
      </c>
      <c r="H703">
        <f t="shared" si="40"/>
        <v>-1.6814711153339321</v>
      </c>
      <c r="I703">
        <v>0.18609999999999999</v>
      </c>
      <c r="J703" t="str">
        <f t="shared" si="41"/>
        <v>C[N+](C)(C)CCO.[Cl-]C1=CC=C(C=C1)O</v>
      </c>
      <c r="K703">
        <v>84</v>
      </c>
      <c r="M703">
        <f t="shared" si="42"/>
        <v>0.83775464848239545</v>
      </c>
      <c r="N703">
        <f t="shared" si="43"/>
        <v>3.4222751882261737</v>
      </c>
    </row>
    <row r="704" spans="1:14" x14ac:dyDescent="0.35">
      <c r="A704">
        <v>702</v>
      </c>
      <c r="B704" t="s">
        <v>7</v>
      </c>
      <c r="C704" t="s">
        <v>58</v>
      </c>
      <c r="D704">
        <v>0.33333333333333331</v>
      </c>
      <c r="E704">
        <v>0.66666666666666674</v>
      </c>
      <c r="F704">
        <v>323.14999999999998</v>
      </c>
      <c r="G704">
        <v>8580</v>
      </c>
      <c r="H704">
        <f t="shared" si="40"/>
        <v>-1.6109390385603677</v>
      </c>
      <c r="I704">
        <v>0.19969999999999999</v>
      </c>
      <c r="J704" t="str">
        <f t="shared" si="41"/>
        <v>C[N+](C)(C)CCO.[Cl-]C1=CC=C(C=C1)O</v>
      </c>
      <c r="K704">
        <v>84</v>
      </c>
      <c r="M704">
        <f t="shared" si="42"/>
        <v>0.83775464848239545</v>
      </c>
      <c r="N704">
        <f t="shared" si="43"/>
        <v>4.1773106006859564</v>
      </c>
    </row>
    <row r="705" spans="1:14" x14ac:dyDescent="0.35">
      <c r="A705">
        <v>703</v>
      </c>
      <c r="B705" t="s">
        <v>7</v>
      </c>
      <c r="C705" t="s">
        <v>58</v>
      </c>
      <c r="D705">
        <v>0.33333333333333331</v>
      </c>
      <c r="E705">
        <v>0.66666666666666674</v>
      </c>
      <c r="F705">
        <v>323.14999999999998</v>
      </c>
      <c r="G705">
        <v>10070</v>
      </c>
      <c r="H705">
        <f t="shared" si="40"/>
        <v>-1.5511690043101247</v>
      </c>
      <c r="I705">
        <v>0.21199999999999999</v>
      </c>
      <c r="J705" t="str">
        <f t="shared" si="41"/>
        <v>C[N+](C)(C)CCO.[Cl-]C1=CC=C(C=C1)O</v>
      </c>
      <c r="K705">
        <v>84</v>
      </c>
      <c r="M705">
        <f t="shared" si="42"/>
        <v>0.83775464848239545</v>
      </c>
      <c r="N705">
        <f t="shared" si="43"/>
        <v>5.0106459818452729</v>
      </c>
    </row>
    <row r="706" spans="1:14" x14ac:dyDescent="0.35">
      <c r="A706">
        <v>704</v>
      </c>
      <c r="B706" t="s">
        <v>7</v>
      </c>
      <c r="C706" t="s">
        <v>58</v>
      </c>
      <c r="D706">
        <v>0.33333333333333331</v>
      </c>
      <c r="E706">
        <v>0.66666666666666674</v>
      </c>
      <c r="F706">
        <v>323.14999999999998</v>
      </c>
      <c r="G706">
        <v>11590</v>
      </c>
      <c r="H706">
        <f t="shared" si="40"/>
        <v>-1.4792872279690552</v>
      </c>
      <c r="I706">
        <v>0.2278</v>
      </c>
      <c r="J706" t="str">
        <f t="shared" si="41"/>
        <v>C[N+](C)(C)CCO.[Cl-]C1=CC=C(C=C1)O</v>
      </c>
      <c r="K706">
        <v>84</v>
      </c>
      <c r="M706">
        <f t="shared" si="42"/>
        <v>0.83775464848239545</v>
      </c>
      <c r="N706">
        <f t="shared" si="43"/>
        <v>5.8607599277259181</v>
      </c>
    </row>
    <row r="707" spans="1:14" x14ac:dyDescent="0.35">
      <c r="A707">
        <v>705</v>
      </c>
      <c r="B707" t="s">
        <v>7</v>
      </c>
      <c r="C707" t="s">
        <v>58</v>
      </c>
      <c r="D707">
        <v>0.33333333333333331</v>
      </c>
      <c r="E707">
        <v>0.66666666666666674</v>
      </c>
      <c r="F707">
        <v>333.15</v>
      </c>
      <c r="G707">
        <v>2820</v>
      </c>
      <c r="H707">
        <f t="shared" ref="H707:H770" si="44">LN(I707)</f>
        <v>-2.5626519984128531</v>
      </c>
      <c r="I707">
        <v>7.7100000000000002E-2</v>
      </c>
      <c r="J707" t="str">
        <f t="shared" ref="J707:J770" si="45">_xlfn.CONCAT(B707,C707)</f>
        <v>C[N+](C)(C)CCO.[Cl-]C1=CC=C(C=C1)O</v>
      </c>
      <c r="K707">
        <v>84</v>
      </c>
      <c r="M707">
        <f t="shared" ref="M707:M770" si="46">(F707-$L$3)/$L$2</f>
        <v>1.6214713250298407</v>
      </c>
      <c r="N707">
        <f t="shared" ref="N707:N770" si="47">(G707-$L$6)/$L$5</f>
        <v>0.95582617419088178</v>
      </c>
    </row>
    <row r="708" spans="1:14" x14ac:dyDescent="0.35">
      <c r="A708">
        <v>706</v>
      </c>
      <c r="B708" t="s">
        <v>7</v>
      </c>
      <c r="C708" t="s">
        <v>58</v>
      </c>
      <c r="D708">
        <v>0.33333333333333331</v>
      </c>
      <c r="E708">
        <v>0.66666666666666674</v>
      </c>
      <c r="F708">
        <v>333.15</v>
      </c>
      <c r="G708">
        <v>3810</v>
      </c>
      <c r="H708">
        <f t="shared" si="44"/>
        <v>-2.2528430010992317</v>
      </c>
      <c r="I708">
        <v>0.1051</v>
      </c>
      <c r="J708" t="str">
        <f t="shared" si="45"/>
        <v>C[N+](C)(C)CCO.[Cl-]C1=CC=C(C=C1)O</v>
      </c>
      <c r="K708">
        <v>84</v>
      </c>
      <c r="M708">
        <f t="shared" si="46"/>
        <v>1.6214713250298407</v>
      </c>
      <c r="N708">
        <f t="shared" si="47"/>
        <v>1.5095188099947228</v>
      </c>
    </row>
    <row r="709" spans="1:14" x14ac:dyDescent="0.35">
      <c r="A709">
        <v>707</v>
      </c>
      <c r="B709" t="s">
        <v>7</v>
      </c>
      <c r="C709" t="s">
        <v>58</v>
      </c>
      <c r="D709">
        <v>0.33333333333333331</v>
      </c>
      <c r="E709">
        <v>0.66666666666666674</v>
      </c>
      <c r="F709">
        <v>333.15</v>
      </c>
      <c r="G709">
        <v>5610</v>
      </c>
      <c r="H709">
        <f t="shared" si="44"/>
        <v>-1.9987836386623814</v>
      </c>
      <c r="I709">
        <v>0.13550000000000001</v>
      </c>
      <c r="J709" t="str">
        <f t="shared" si="45"/>
        <v>C[N+](C)(C)CCO.[Cl-]C1=CC=C(C=C1)O</v>
      </c>
      <c r="K709">
        <v>84</v>
      </c>
      <c r="M709">
        <f t="shared" si="46"/>
        <v>1.6214713250298407</v>
      </c>
      <c r="N709">
        <f t="shared" si="47"/>
        <v>2.5162326932744339</v>
      </c>
    </row>
    <row r="710" spans="1:14" x14ac:dyDescent="0.35">
      <c r="A710">
        <v>708</v>
      </c>
      <c r="B710" t="s">
        <v>7</v>
      </c>
      <c r="C710" t="s">
        <v>58</v>
      </c>
      <c r="D710">
        <v>0.33333333333333331</v>
      </c>
      <c r="E710">
        <v>0.66666666666666674</v>
      </c>
      <c r="F710">
        <v>333.15</v>
      </c>
      <c r="G710">
        <v>7620</v>
      </c>
      <c r="H710">
        <f t="shared" si="44"/>
        <v>-1.7550418862928923</v>
      </c>
      <c r="I710">
        <v>0.1729</v>
      </c>
      <c r="J710" t="str">
        <f t="shared" si="45"/>
        <v>C[N+](C)(C)CCO.[Cl-]C1=CC=C(C=C1)O</v>
      </c>
      <c r="K710">
        <v>84</v>
      </c>
      <c r="M710">
        <f t="shared" si="46"/>
        <v>1.6214713250298407</v>
      </c>
      <c r="N710">
        <f t="shared" si="47"/>
        <v>3.6403965296034442</v>
      </c>
    </row>
    <row r="711" spans="1:14" x14ac:dyDescent="0.35">
      <c r="A711">
        <v>709</v>
      </c>
      <c r="B711" t="s">
        <v>7</v>
      </c>
      <c r="C711" t="s">
        <v>58</v>
      </c>
      <c r="D711">
        <v>0.33333333333333331</v>
      </c>
      <c r="E711">
        <v>0.66666666666666674</v>
      </c>
      <c r="F711">
        <v>333.15</v>
      </c>
      <c r="G711">
        <v>9440</v>
      </c>
      <c r="H711">
        <f t="shared" si="44"/>
        <v>-1.6393817888071724</v>
      </c>
      <c r="I711">
        <v>0.19409999999999999</v>
      </c>
      <c r="J711" t="str">
        <f t="shared" si="45"/>
        <v>C[N+](C)(C)CCO.[Cl-]C1=CC=C(C=C1)O</v>
      </c>
      <c r="K711">
        <v>84</v>
      </c>
      <c r="M711">
        <f t="shared" si="46"/>
        <v>1.6214713250298407</v>
      </c>
      <c r="N711">
        <f t="shared" si="47"/>
        <v>4.658296122697374</v>
      </c>
    </row>
    <row r="712" spans="1:14" x14ac:dyDescent="0.35">
      <c r="A712">
        <v>710</v>
      </c>
      <c r="B712" t="s">
        <v>7</v>
      </c>
      <c r="C712" t="s">
        <v>58</v>
      </c>
      <c r="D712">
        <v>0.33333333333333331</v>
      </c>
      <c r="E712">
        <v>0.66666666666666674</v>
      </c>
      <c r="F712">
        <v>333.15</v>
      </c>
      <c r="G712">
        <v>10910</v>
      </c>
      <c r="H712">
        <f t="shared" si="44"/>
        <v>-1.596521687167554</v>
      </c>
      <c r="I712">
        <v>0.2026</v>
      </c>
      <c r="J712" t="str">
        <f t="shared" si="45"/>
        <v>C[N+](C)(C)CCO.[Cl-]C1=CC=C(C=C1)O</v>
      </c>
      <c r="K712">
        <v>84</v>
      </c>
      <c r="M712">
        <f t="shared" si="46"/>
        <v>1.6214713250298407</v>
      </c>
      <c r="N712">
        <f t="shared" si="47"/>
        <v>5.4804457940424713</v>
      </c>
    </row>
    <row r="713" spans="1:14" x14ac:dyDescent="0.35">
      <c r="A713">
        <v>711</v>
      </c>
      <c r="B713" t="s">
        <v>7</v>
      </c>
      <c r="C713" t="s">
        <v>58</v>
      </c>
      <c r="D713">
        <v>0.33333333333333331</v>
      </c>
      <c r="E713">
        <v>0.66666666666666674</v>
      </c>
      <c r="F713">
        <v>333.15</v>
      </c>
      <c r="G713">
        <v>12210</v>
      </c>
      <c r="H713">
        <f t="shared" si="44"/>
        <v>-1.5361874506945077</v>
      </c>
      <c r="I713">
        <v>0.2152</v>
      </c>
      <c r="J713" t="str">
        <f t="shared" si="45"/>
        <v>C[N+](C)(C)CCO.[Cl-]C1=CC=C(C=C1)O</v>
      </c>
      <c r="K713">
        <v>84</v>
      </c>
      <c r="M713">
        <f t="shared" si="46"/>
        <v>1.6214713250298407</v>
      </c>
      <c r="N713">
        <f t="shared" si="47"/>
        <v>6.2075169319667074</v>
      </c>
    </row>
    <row r="714" spans="1:14" x14ac:dyDescent="0.35">
      <c r="A714">
        <v>712</v>
      </c>
      <c r="B714" t="s">
        <v>7</v>
      </c>
      <c r="C714" t="s">
        <v>58</v>
      </c>
      <c r="D714">
        <v>0.33333333333333331</v>
      </c>
      <c r="E714">
        <v>0.66666666666666674</v>
      </c>
      <c r="F714">
        <v>333.15</v>
      </c>
      <c r="G714">
        <v>13300</v>
      </c>
      <c r="H714">
        <f t="shared" si="44"/>
        <v>-1.5059792040658704</v>
      </c>
      <c r="I714">
        <v>0.2218</v>
      </c>
      <c r="J714" t="str">
        <f t="shared" si="45"/>
        <v>C[N+](C)(C)CCO.[Cl-]C1=CC=C(C=C1)O</v>
      </c>
      <c r="K714">
        <v>84</v>
      </c>
      <c r="M714">
        <f t="shared" si="46"/>
        <v>1.6214713250298407</v>
      </c>
      <c r="N714">
        <f t="shared" si="47"/>
        <v>6.8171381168416429</v>
      </c>
    </row>
    <row r="715" spans="1:14" x14ac:dyDescent="0.35">
      <c r="A715">
        <v>713</v>
      </c>
      <c r="B715" t="s">
        <v>15</v>
      </c>
      <c r="C715" t="s">
        <v>75</v>
      </c>
      <c r="D715">
        <v>0.33333333333333331</v>
      </c>
      <c r="E715">
        <v>0.66666666666666674</v>
      </c>
      <c r="F715">
        <v>303.14999999999998</v>
      </c>
      <c r="G715">
        <v>412</v>
      </c>
      <c r="H715">
        <f t="shared" si="44"/>
        <v>-3.4265151896464454</v>
      </c>
      <c r="I715">
        <v>3.2500000000000001E-2</v>
      </c>
      <c r="J715" t="str">
        <f t="shared" si="45"/>
        <v>CC[N+](CC)(CC)CC.[Cl-]CCCCCC(=O)O</v>
      </c>
      <c r="K715">
        <v>57</v>
      </c>
      <c r="M715">
        <f t="shared" si="46"/>
        <v>-0.72967870461249518</v>
      </c>
      <c r="N715">
        <f t="shared" si="47"/>
        <v>-0.39093328744108707</v>
      </c>
    </row>
    <row r="716" spans="1:14" x14ac:dyDescent="0.35">
      <c r="A716">
        <v>714</v>
      </c>
      <c r="B716" t="s">
        <v>15</v>
      </c>
      <c r="C716" t="s">
        <v>75</v>
      </c>
      <c r="D716">
        <v>0.33333333333333331</v>
      </c>
      <c r="E716">
        <v>0.66666666666666674</v>
      </c>
      <c r="F716">
        <v>303.14999999999998</v>
      </c>
      <c r="G716">
        <v>521</v>
      </c>
      <c r="H716">
        <f t="shared" si="44"/>
        <v>-3.25</v>
      </c>
      <c r="I716">
        <v>3.8774207831722009E-2</v>
      </c>
      <c r="J716" t="str">
        <f t="shared" si="45"/>
        <v>CC[N+](CC)(CC)CC.[Cl-]CCCCCC(=O)O</v>
      </c>
      <c r="K716">
        <v>57</v>
      </c>
      <c r="M716">
        <f t="shared" si="46"/>
        <v>-0.72967870461249518</v>
      </c>
      <c r="N716">
        <f t="shared" si="47"/>
        <v>-0.32997116895359352</v>
      </c>
    </row>
    <row r="717" spans="1:14" x14ac:dyDescent="0.35">
      <c r="A717">
        <v>715</v>
      </c>
      <c r="B717" t="s">
        <v>15</v>
      </c>
      <c r="C717" t="s">
        <v>75</v>
      </c>
      <c r="D717">
        <v>0.33333333333333331</v>
      </c>
      <c r="E717">
        <v>0.66666666666666674</v>
      </c>
      <c r="F717">
        <v>303.14999999999998</v>
      </c>
      <c r="G717">
        <v>609</v>
      </c>
      <c r="H717">
        <f t="shared" si="44"/>
        <v>-3.0769423289795341</v>
      </c>
      <c r="I717">
        <v>4.6100000000000002E-2</v>
      </c>
      <c r="J717" t="str">
        <f t="shared" si="45"/>
        <v>CC[N+](CC)(CC)CC.[Cl-]CCCCCC(=O)O</v>
      </c>
      <c r="K717">
        <v>57</v>
      </c>
      <c r="M717">
        <f t="shared" si="46"/>
        <v>-0.72967870461249518</v>
      </c>
      <c r="N717">
        <f t="shared" si="47"/>
        <v>-0.28075404577102986</v>
      </c>
    </row>
    <row r="718" spans="1:14" x14ac:dyDescent="0.35">
      <c r="A718">
        <v>716</v>
      </c>
      <c r="B718" t="s">
        <v>15</v>
      </c>
      <c r="C718" t="s">
        <v>75</v>
      </c>
      <c r="D718">
        <v>0.33333333333333331</v>
      </c>
      <c r="E718">
        <v>0.66666666666666674</v>
      </c>
      <c r="F718">
        <v>303.14999999999998</v>
      </c>
      <c r="G718">
        <v>688</v>
      </c>
      <c r="H718">
        <f t="shared" si="44"/>
        <v>-2.94</v>
      </c>
      <c r="I718">
        <v>5.2865728738350368E-2</v>
      </c>
      <c r="J718" t="str">
        <f t="shared" si="45"/>
        <v>CC[N+](CC)(CC)CC.[Cl-]CCCCCC(=O)O</v>
      </c>
      <c r="K718">
        <v>57</v>
      </c>
      <c r="M718">
        <f t="shared" si="46"/>
        <v>-0.72967870461249518</v>
      </c>
      <c r="N718">
        <f t="shared" si="47"/>
        <v>-0.23657049200486474</v>
      </c>
    </row>
    <row r="719" spans="1:14" x14ac:dyDescent="0.35">
      <c r="A719">
        <v>717</v>
      </c>
      <c r="B719" t="s">
        <v>15</v>
      </c>
      <c r="C719" t="s">
        <v>75</v>
      </c>
      <c r="D719">
        <v>0.33333333333333331</v>
      </c>
      <c r="E719">
        <v>0.66666666666666674</v>
      </c>
      <c r="F719">
        <v>303.14999999999998</v>
      </c>
      <c r="G719">
        <v>803</v>
      </c>
      <c r="H719">
        <f t="shared" si="44"/>
        <v>-2.75</v>
      </c>
      <c r="I719">
        <v>6.392786120670757E-2</v>
      </c>
      <c r="J719" t="str">
        <f t="shared" si="45"/>
        <v>CC[N+](CC)(CC)CC.[Cl-]CCCCCC(=O)O</v>
      </c>
      <c r="K719">
        <v>57</v>
      </c>
      <c r="M719">
        <f t="shared" si="46"/>
        <v>-0.72967870461249518</v>
      </c>
      <c r="N719">
        <f t="shared" si="47"/>
        <v>-0.17225266057310545</v>
      </c>
    </row>
    <row r="720" spans="1:14" x14ac:dyDescent="0.35">
      <c r="A720">
        <v>718</v>
      </c>
      <c r="B720" t="s">
        <v>15</v>
      </c>
      <c r="C720" t="s">
        <v>75</v>
      </c>
      <c r="D720">
        <v>0.33333333333333331</v>
      </c>
      <c r="E720">
        <v>0.66666666666666674</v>
      </c>
      <c r="F720">
        <v>303.14999999999998</v>
      </c>
      <c r="G720">
        <v>913</v>
      </c>
      <c r="H720">
        <f t="shared" si="44"/>
        <v>-2.624168717121508</v>
      </c>
      <c r="I720">
        <v>7.2499999999999995E-2</v>
      </c>
      <c r="J720" t="str">
        <f t="shared" si="45"/>
        <v>CC[N+](CC)(CC)CC.[Cl-]CCCCCC(=O)O</v>
      </c>
      <c r="K720">
        <v>57</v>
      </c>
      <c r="M720">
        <f t="shared" si="46"/>
        <v>-0.72967870461249518</v>
      </c>
      <c r="N720">
        <f t="shared" si="47"/>
        <v>-0.11073125659490089</v>
      </c>
    </row>
    <row r="721" spans="1:14" x14ac:dyDescent="0.35">
      <c r="A721">
        <v>719</v>
      </c>
      <c r="B721" t="s">
        <v>15</v>
      </c>
      <c r="C721" t="s">
        <v>75</v>
      </c>
      <c r="D721">
        <v>0.33333333333333331</v>
      </c>
      <c r="E721">
        <v>0.66666666666666674</v>
      </c>
      <c r="F721">
        <v>303.14999999999998</v>
      </c>
      <c r="G721">
        <v>1130</v>
      </c>
      <c r="H721">
        <f t="shared" si="44"/>
        <v>-2.4247527269682534</v>
      </c>
      <c r="I721">
        <v>8.8499999999999995E-2</v>
      </c>
      <c r="J721" t="str">
        <f t="shared" si="45"/>
        <v>CC[N+](CC)(CC)CC.[Cl-]CCCCCC(=O)O</v>
      </c>
      <c r="K721">
        <v>57</v>
      </c>
      <c r="M721">
        <f t="shared" si="46"/>
        <v>-0.72967870461249518</v>
      </c>
      <c r="N721">
        <f t="shared" si="47"/>
        <v>1.0633694889375378E-2</v>
      </c>
    </row>
    <row r="722" spans="1:14" x14ac:dyDescent="0.35">
      <c r="A722">
        <v>720</v>
      </c>
      <c r="B722" t="s">
        <v>15</v>
      </c>
      <c r="C722" t="s">
        <v>75</v>
      </c>
      <c r="D722">
        <v>0.33333333333333331</v>
      </c>
      <c r="E722">
        <v>0.66666666666666674</v>
      </c>
      <c r="F722">
        <v>313.14999999999998</v>
      </c>
      <c r="G722">
        <v>528</v>
      </c>
      <c r="H722">
        <f t="shared" si="44"/>
        <v>-3.3843402645957323</v>
      </c>
      <c r="I722">
        <v>3.39E-2</v>
      </c>
      <c r="J722" t="str">
        <f t="shared" si="45"/>
        <v>CC[N+](CC)(CC)CC.[Cl-]CCCCCC(=O)O</v>
      </c>
      <c r="K722">
        <v>57</v>
      </c>
      <c r="M722">
        <f t="shared" si="46"/>
        <v>5.4037971934950142E-2</v>
      </c>
      <c r="N722">
        <f t="shared" si="47"/>
        <v>-0.32605617051861685</v>
      </c>
    </row>
    <row r="723" spans="1:14" x14ac:dyDescent="0.35">
      <c r="A723">
        <v>721</v>
      </c>
      <c r="B723" t="s">
        <v>15</v>
      </c>
      <c r="C723" t="s">
        <v>75</v>
      </c>
      <c r="D723">
        <v>0.33333333333333331</v>
      </c>
      <c r="E723">
        <v>0.66666666666666674</v>
      </c>
      <c r="F723">
        <v>313.14999999999998</v>
      </c>
      <c r="G723">
        <v>627</v>
      </c>
      <c r="H723">
        <f t="shared" si="44"/>
        <v>-3.2064533048696435</v>
      </c>
      <c r="I723">
        <v>4.0500000000000001E-2</v>
      </c>
      <c r="J723" t="str">
        <f t="shared" si="45"/>
        <v>CC[N+](CC)(CC)CC.[Cl-]CCCCCC(=O)O</v>
      </c>
      <c r="K723">
        <v>57</v>
      </c>
      <c r="M723">
        <f t="shared" si="46"/>
        <v>5.4037971934950142E-2</v>
      </c>
      <c r="N723">
        <f t="shared" si="47"/>
        <v>-0.27068690693823272</v>
      </c>
    </row>
    <row r="724" spans="1:14" x14ac:dyDescent="0.35">
      <c r="A724">
        <v>722</v>
      </c>
      <c r="B724" t="s">
        <v>15</v>
      </c>
      <c r="C724" t="s">
        <v>75</v>
      </c>
      <c r="D724">
        <v>0.33333333333333331</v>
      </c>
      <c r="E724">
        <v>0.66666666666666674</v>
      </c>
      <c r="F724">
        <v>313.14999999999998</v>
      </c>
      <c r="G724">
        <v>727</v>
      </c>
      <c r="H724">
        <f t="shared" si="44"/>
        <v>-3.0365542680742461</v>
      </c>
      <c r="I724">
        <v>4.8000000000000001E-2</v>
      </c>
      <c r="J724" t="str">
        <f t="shared" si="45"/>
        <v>CC[N+](CC)(CC)CC.[Cl-]CCCCCC(=O)O</v>
      </c>
      <c r="K724">
        <v>57</v>
      </c>
      <c r="M724">
        <f t="shared" si="46"/>
        <v>5.4037971934950142E-2</v>
      </c>
      <c r="N724">
        <f t="shared" si="47"/>
        <v>-0.21475835786713768</v>
      </c>
    </row>
    <row r="725" spans="1:14" x14ac:dyDescent="0.35">
      <c r="A725">
        <v>723</v>
      </c>
      <c r="B725" t="s">
        <v>15</v>
      </c>
      <c r="C725" t="s">
        <v>75</v>
      </c>
      <c r="D725">
        <v>0.33333333333333331</v>
      </c>
      <c r="E725">
        <v>0.66666666666666674</v>
      </c>
      <c r="F725">
        <v>313.14999999999998</v>
      </c>
      <c r="G725">
        <v>804</v>
      </c>
      <c r="H725">
        <f t="shared" si="44"/>
        <v>-2.8913722582297483</v>
      </c>
      <c r="I725">
        <v>5.5500000000000001E-2</v>
      </c>
      <c r="J725" t="str">
        <f t="shared" si="45"/>
        <v>CC[N+](CC)(CC)CC.[Cl-]CCCCCC(=O)O</v>
      </c>
      <c r="K725">
        <v>57</v>
      </c>
      <c r="M725">
        <f t="shared" si="46"/>
        <v>5.4037971934950142E-2</v>
      </c>
      <c r="N725">
        <f t="shared" si="47"/>
        <v>-0.17169337508239449</v>
      </c>
    </row>
    <row r="726" spans="1:14" x14ac:dyDescent="0.35">
      <c r="A726">
        <v>724</v>
      </c>
      <c r="B726" t="s">
        <v>15</v>
      </c>
      <c r="C726" t="s">
        <v>75</v>
      </c>
      <c r="D726">
        <v>0.33333333333333331</v>
      </c>
      <c r="E726">
        <v>0.66666666666666674</v>
      </c>
      <c r="F726">
        <v>313.14999999999998</v>
      </c>
      <c r="G726">
        <v>955</v>
      </c>
      <c r="H726">
        <f t="shared" si="44"/>
        <v>-2.7709900008760844</v>
      </c>
      <c r="I726">
        <v>6.2600000000000003E-2</v>
      </c>
      <c r="J726" t="str">
        <f t="shared" si="45"/>
        <v>CC[N+](CC)(CC)CC.[Cl-]CCCCCC(=O)O</v>
      </c>
      <c r="K726">
        <v>57</v>
      </c>
      <c r="M726">
        <f t="shared" si="46"/>
        <v>5.4037971934950142E-2</v>
      </c>
      <c r="N726">
        <f t="shared" si="47"/>
        <v>-8.7241265985040964E-2</v>
      </c>
    </row>
    <row r="727" spans="1:14" x14ac:dyDescent="0.35">
      <c r="A727">
        <v>725</v>
      </c>
      <c r="B727" t="s">
        <v>15</v>
      </c>
      <c r="C727" t="s">
        <v>75</v>
      </c>
      <c r="D727">
        <v>0.33333333333333331</v>
      </c>
      <c r="E727">
        <v>0.66666666666666674</v>
      </c>
      <c r="F727">
        <v>313.14999999999998</v>
      </c>
      <c r="G727">
        <v>1084</v>
      </c>
      <c r="H727">
        <f t="shared" si="44"/>
        <v>-2.5783385945805528</v>
      </c>
      <c r="I727">
        <v>7.5899999999999995E-2</v>
      </c>
      <c r="J727" t="str">
        <f t="shared" si="45"/>
        <v>CC[N+](CC)(CC)CC.[Cl-]CCCCCC(=O)O</v>
      </c>
      <c r="K727">
        <v>57</v>
      </c>
      <c r="M727">
        <f t="shared" si="46"/>
        <v>5.4037971934950142E-2</v>
      </c>
      <c r="N727">
        <f t="shared" si="47"/>
        <v>-1.5093437683328347E-2</v>
      </c>
    </row>
    <row r="728" spans="1:14" x14ac:dyDescent="0.35">
      <c r="A728">
        <v>726</v>
      </c>
      <c r="B728" t="s">
        <v>15</v>
      </c>
      <c r="C728" t="s">
        <v>75</v>
      </c>
      <c r="D728">
        <v>0.33333333333333331</v>
      </c>
      <c r="E728">
        <v>0.66666666666666674</v>
      </c>
      <c r="F728">
        <v>313.14999999999998</v>
      </c>
      <c r="G728">
        <v>1129</v>
      </c>
      <c r="H728">
        <f t="shared" si="44"/>
        <v>-2.54</v>
      </c>
      <c r="I728">
        <v>7.8866399790674946E-2</v>
      </c>
      <c r="J728" t="str">
        <f t="shared" si="45"/>
        <v>CC[N+](CC)(CC)CC.[Cl-]CCCCCC(=O)O</v>
      </c>
      <c r="K728">
        <v>57</v>
      </c>
      <c r="M728">
        <f t="shared" si="46"/>
        <v>5.4037971934950142E-2</v>
      </c>
      <c r="N728">
        <f t="shared" si="47"/>
        <v>1.0074409398664427E-2</v>
      </c>
    </row>
    <row r="729" spans="1:14" x14ac:dyDescent="0.35">
      <c r="A729">
        <v>727</v>
      </c>
      <c r="B729" t="s">
        <v>15</v>
      </c>
      <c r="C729" t="s">
        <v>75</v>
      </c>
      <c r="D729">
        <v>0.33333333333333331</v>
      </c>
      <c r="E729">
        <v>0.66666666666666674</v>
      </c>
      <c r="F729">
        <v>323.14999999999998</v>
      </c>
      <c r="G729">
        <v>423</v>
      </c>
      <c r="H729">
        <f t="shared" si="44"/>
        <v>-3.6769508832486624</v>
      </c>
      <c r="I729">
        <v>2.53E-2</v>
      </c>
      <c r="J729" t="str">
        <f t="shared" si="45"/>
        <v>CC[N+](CC)(CC)CC.[Cl-]CCCCCC(=O)O</v>
      </c>
      <c r="K729">
        <v>57</v>
      </c>
      <c r="M729">
        <f t="shared" si="46"/>
        <v>0.83775464848239545</v>
      </c>
      <c r="N729">
        <f t="shared" si="47"/>
        <v>-0.38478114704326666</v>
      </c>
    </row>
    <row r="730" spans="1:14" x14ac:dyDescent="0.35">
      <c r="A730">
        <v>728</v>
      </c>
      <c r="B730" t="s">
        <v>15</v>
      </c>
      <c r="C730" t="s">
        <v>75</v>
      </c>
      <c r="D730">
        <v>0.33333333333333331</v>
      </c>
      <c r="E730">
        <v>0.66666666666666674</v>
      </c>
      <c r="F730">
        <v>323.14999999999998</v>
      </c>
      <c r="G730">
        <v>521</v>
      </c>
      <c r="H730">
        <f t="shared" si="44"/>
        <v>-3.49</v>
      </c>
      <c r="I730">
        <v>3.0500872171217483E-2</v>
      </c>
      <c r="J730" t="str">
        <f t="shared" si="45"/>
        <v>CC[N+](CC)(CC)CC.[Cl-]CCCCCC(=O)O</v>
      </c>
      <c r="K730">
        <v>57</v>
      </c>
      <c r="M730">
        <f t="shared" si="46"/>
        <v>0.83775464848239545</v>
      </c>
      <c r="N730">
        <f t="shared" si="47"/>
        <v>-0.32997116895359352</v>
      </c>
    </row>
    <row r="731" spans="1:14" x14ac:dyDescent="0.35">
      <c r="A731">
        <v>729</v>
      </c>
      <c r="B731" t="s">
        <v>15</v>
      </c>
      <c r="C731" t="s">
        <v>75</v>
      </c>
      <c r="D731">
        <v>0.33333333333333331</v>
      </c>
      <c r="E731">
        <v>0.66666666666666674</v>
      </c>
      <c r="F731">
        <v>323.14999999999998</v>
      </c>
      <c r="G731">
        <v>685</v>
      </c>
      <c r="H731">
        <f t="shared" si="44"/>
        <v>-3.2114038100294997</v>
      </c>
      <c r="I731">
        <v>4.0300000000000002E-2</v>
      </c>
      <c r="J731" t="str">
        <f t="shared" si="45"/>
        <v>CC[N+](CC)(CC)CC.[Cl-]CCCCCC(=O)O</v>
      </c>
      <c r="K731">
        <v>57</v>
      </c>
      <c r="M731">
        <f t="shared" si="46"/>
        <v>0.83775464848239545</v>
      </c>
      <c r="N731">
        <f t="shared" si="47"/>
        <v>-0.23824834847699761</v>
      </c>
    </row>
    <row r="732" spans="1:14" x14ac:dyDescent="0.35">
      <c r="A732">
        <v>730</v>
      </c>
      <c r="B732" t="s">
        <v>15</v>
      </c>
      <c r="C732" t="s">
        <v>75</v>
      </c>
      <c r="D732">
        <v>0.33333333333333331</v>
      </c>
      <c r="E732">
        <v>0.66666666666666674</v>
      </c>
      <c r="F732">
        <v>323.14999999999998</v>
      </c>
      <c r="G732">
        <v>821</v>
      </c>
      <c r="H732">
        <f t="shared" si="44"/>
        <v>-3.0386397745652673</v>
      </c>
      <c r="I732">
        <v>4.7899999999999998E-2</v>
      </c>
      <c r="J732" t="str">
        <f t="shared" si="45"/>
        <v>CC[N+](CC)(CC)CC.[Cl-]CCCCCC(=O)O</v>
      </c>
      <c r="K732">
        <v>57</v>
      </c>
      <c r="M732">
        <f t="shared" si="46"/>
        <v>0.83775464848239545</v>
      </c>
      <c r="N732">
        <f t="shared" si="47"/>
        <v>-0.16218552174030834</v>
      </c>
    </row>
    <row r="733" spans="1:14" x14ac:dyDescent="0.35">
      <c r="A733">
        <v>731</v>
      </c>
      <c r="B733" t="s">
        <v>15</v>
      </c>
      <c r="C733" t="s">
        <v>75</v>
      </c>
      <c r="D733">
        <v>0.33333333333333331</v>
      </c>
      <c r="E733">
        <v>0.66666666666666674</v>
      </c>
      <c r="F733">
        <v>323.14999999999998</v>
      </c>
      <c r="G733">
        <v>900</v>
      </c>
      <c r="H733">
        <f t="shared" si="44"/>
        <v>-2.9243422774673182</v>
      </c>
      <c r="I733">
        <v>5.3699999999999998E-2</v>
      </c>
      <c r="J733" t="str">
        <f t="shared" si="45"/>
        <v>CC[N+](CC)(CC)CC.[Cl-]CCCCCC(=O)O</v>
      </c>
      <c r="K733">
        <v>57</v>
      </c>
      <c r="M733">
        <f t="shared" si="46"/>
        <v>0.83775464848239545</v>
      </c>
      <c r="N733">
        <f t="shared" si="47"/>
        <v>-0.11800196797414324</v>
      </c>
    </row>
    <row r="734" spans="1:14" x14ac:dyDescent="0.35">
      <c r="A734">
        <v>732</v>
      </c>
      <c r="B734" t="s">
        <v>15</v>
      </c>
      <c r="C734" t="s">
        <v>75</v>
      </c>
      <c r="D734">
        <v>0.33333333333333331</v>
      </c>
      <c r="E734">
        <v>0.66666666666666674</v>
      </c>
      <c r="F734">
        <v>323.14999999999998</v>
      </c>
      <c r="G734">
        <v>1132</v>
      </c>
      <c r="H734">
        <f t="shared" si="44"/>
        <v>-2.7120582224997487</v>
      </c>
      <c r="I734">
        <v>6.6400000000000001E-2</v>
      </c>
      <c r="J734" t="str">
        <f t="shared" si="45"/>
        <v>CC[N+](CC)(CC)CC.[Cl-]CCCCCC(=O)O</v>
      </c>
      <c r="K734">
        <v>57</v>
      </c>
      <c r="M734">
        <f t="shared" si="46"/>
        <v>0.83775464848239545</v>
      </c>
      <c r="N734">
        <f t="shared" si="47"/>
        <v>1.1752265870797279E-2</v>
      </c>
    </row>
    <row r="735" spans="1:14" x14ac:dyDescent="0.35">
      <c r="A735">
        <v>733</v>
      </c>
      <c r="B735" t="s">
        <v>15</v>
      </c>
      <c r="C735" t="s">
        <v>75</v>
      </c>
      <c r="D735">
        <v>0.33333333333333331</v>
      </c>
      <c r="E735">
        <v>0.66666666666666674</v>
      </c>
      <c r="F735">
        <v>323.14999999999998</v>
      </c>
      <c r="G735">
        <v>1263</v>
      </c>
      <c r="H735">
        <f t="shared" si="44"/>
        <v>-2.6</v>
      </c>
      <c r="I735">
        <v>7.4273578214333877E-2</v>
      </c>
      <c r="J735" t="str">
        <f t="shared" si="45"/>
        <v>CC[N+](CC)(CC)CC.[Cl-]CCCCCC(=O)O</v>
      </c>
      <c r="K735">
        <v>57</v>
      </c>
      <c r="M735">
        <f t="shared" si="46"/>
        <v>0.83775464848239545</v>
      </c>
      <c r="N735">
        <f t="shared" si="47"/>
        <v>8.5018665153931791E-2</v>
      </c>
    </row>
    <row r="736" spans="1:14" x14ac:dyDescent="0.35">
      <c r="A736">
        <v>734</v>
      </c>
      <c r="B736" t="s">
        <v>30</v>
      </c>
      <c r="C736" t="s">
        <v>33</v>
      </c>
      <c r="D736">
        <v>0.33333333333333331</v>
      </c>
      <c r="E736">
        <v>0.66666666666666674</v>
      </c>
      <c r="F736">
        <v>293.14999999999998</v>
      </c>
      <c r="G736">
        <v>4020.1</v>
      </c>
      <c r="H736">
        <f t="shared" si="44"/>
        <v>-0.93369124655432245</v>
      </c>
      <c r="I736">
        <v>0.3931</v>
      </c>
      <c r="J736" t="str">
        <f t="shared" si="45"/>
        <v>C[C@@H]1CC[C@H]([C@@H](C1)O)C(C)CCC1=CC(=C(C=C1)C(C)C)O</v>
      </c>
      <c r="K736">
        <v>66</v>
      </c>
      <c r="M736">
        <f t="shared" si="46"/>
        <v>-1.5133953811599403</v>
      </c>
      <c r="N736">
        <f t="shared" si="47"/>
        <v>1.6270246915930935</v>
      </c>
    </row>
    <row r="737" spans="1:14" x14ac:dyDescent="0.35">
      <c r="A737">
        <v>735</v>
      </c>
      <c r="B737" t="s">
        <v>30</v>
      </c>
      <c r="C737" t="s">
        <v>33</v>
      </c>
      <c r="D737">
        <v>0.33333333333333331</v>
      </c>
      <c r="E737">
        <v>0.66666666666666674</v>
      </c>
      <c r="F737">
        <v>293.14999999999998</v>
      </c>
      <c r="G737">
        <v>3369.1</v>
      </c>
      <c r="H737">
        <f t="shared" si="44"/>
        <v>-1.0572784251751326</v>
      </c>
      <c r="I737">
        <v>0.34739999999999999</v>
      </c>
      <c r="J737" t="str">
        <f t="shared" si="45"/>
        <v>C[C@@H]1CC[C@H]([C@@H](C1)O)C(C)CCC1=CC(=C(C=C1)C(C)C)O</v>
      </c>
      <c r="K737">
        <v>66</v>
      </c>
      <c r="M737">
        <f t="shared" si="46"/>
        <v>-1.5133953811599403</v>
      </c>
      <c r="N737">
        <f t="shared" si="47"/>
        <v>1.2629298371402646</v>
      </c>
    </row>
    <row r="738" spans="1:14" x14ac:dyDescent="0.35">
      <c r="A738">
        <v>736</v>
      </c>
      <c r="B738" t="s">
        <v>30</v>
      </c>
      <c r="C738" t="s">
        <v>33</v>
      </c>
      <c r="D738">
        <v>0.33333333333333331</v>
      </c>
      <c r="E738">
        <v>0.66666666666666674</v>
      </c>
      <c r="F738">
        <v>293.14999999999998</v>
      </c>
      <c r="G738">
        <v>2486</v>
      </c>
      <c r="H738">
        <f t="shared" si="44"/>
        <v>-1.340556469446037</v>
      </c>
      <c r="I738">
        <v>0.26169999999999999</v>
      </c>
      <c r="J738" t="str">
        <f t="shared" si="45"/>
        <v>C[C@@H]1CC[C@H]([C@@H](C1)O)C(C)CCC1=CC(=C(C=C1)C(C)C)O</v>
      </c>
      <c r="K738">
        <v>66</v>
      </c>
      <c r="M738">
        <f t="shared" si="46"/>
        <v>-1.5133953811599403</v>
      </c>
      <c r="N738">
        <f t="shared" si="47"/>
        <v>0.76902482029342434</v>
      </c>
    </row>
    <row r="739" spans="1:14" x14ac:dyDescent="0.35">
      <c r="A739">
        <v>737</v>
      </c>
      <c r="B739" t="s">
        <v>30</v>
      </c>
      <c r="C739" t="s">
        <v>33</v>
      </c>
      <c r="D739">
        <v>0.33333333333333331</v>
      </c>
      <c r="E739">
        <v>0.66666666666666674</v>
      </c>
      <c r="F739">
        <v>293.14999999999998</v>
      </c>
      <c r="G739">
        <v>1628.1</v>
      </c>
      <c r="H739">
        <f t="shared" si="44"/>
        <v>-1.719252778441307</v>
      </c>
      <c r="I739">
        <v>0.1792</v>
      </c>
      <c r="J739" t="str">
        <f t="shared" si="45"/>
        <v>C[C@@H]1CC[C@H]([C@@H](C1)O)C(C)CCC1=CC(=C(C=C1)C(C)C)O</v>
      </c>
      <c r="K739">
        <v>66</v>
      </c>
      <c r="M739">
        <f t="shared" si="46"/>
        <v>-1.5133953811599403</v>
      </c>
      <c r="N739">
        <f t="shared" si="47"/>
        <v>0.28921379781249978</v>
      </c>
    </row>
    <row r="740" spans="1:14" x14ac:dyDescent="0.35">
      <c r="A740">
        <v>738</v>
      </c>
      <c r="B740" t="s">
        <v>30</v>
      </c>
      <c r="C740" t="s">
        <v>33</v>
      </c>
      <c r="D740">
        <v>0.33333333333333331</v>
      </c>
      <c r="E740">
        <v>0.66666666666666674</v>
      </c>
      <c r="F740">
        <v>303.14999999999998</v>
      </c>
      <c r="G740">
        <v>4096.7</v>
      </c>
      <c r="H740">
        <f t="shared" si="44"/>
        <v>-1.0532565869473125</v>
      </c>
      <c r="I740">
        <v>0.3488</v>
      </c>
      <c r="J740" t="str">
        <f t="shared" si="45"/>
        <v>C[C@@H]1CC[C@H]([C@@H](C1)O)C(C)CCC1=CC(=C(C=C1)C(C)C)O</v>
      </c>
      <c r="K740">
        <v>66</v>
      </c>
      <c r="M740">
        <f t="shared" si="46"/>
        <v>-0.72967870461249518</v>
      </c>
      <c r="N740">
        <f t="shared" si="47"/>
        <v>1.6698659601815522</v>
      </c>
    </row>
    <row r="741" spans="1:14" x14ac:dyDescent="0.35">
      <c r="A741">
        <v>739</v>
      </c>
      <c r="B741" t="s">
        <v>30</v>
      </c>
      <c r="C741" t="s">
        <v>33</v>
      </c>
      <c r="D741">
        <v>0.33333333333333331</v>
      </c>
      <c r="E741">
        <v>0.66666666666666674</v>
      </c>
      <c r="F741">
        <v>303.14999999999998</v>
      </c>
      <c r="G741">
        <v>3424.7</v>
      </c>
      <c r="H741">
        <f t="shared" si="44"/>
        <v>-1.1523295711740975</v>
      </c>
      <c r="I741">
        <v>0.31590000000000001</v>
      </c>
      <c r="J741" t="str">
        <f t="shared" si="45"/>
        <v>C[C@@H]1CC[C@H]([C@@H](C1)O)C(C)CCC1=CC(=C(C=C1)C(C)C)O</v>
      </c>
      <c r="K741">
        <v>66</v>
      </c>
      <c r="M741">
        <f t="shared" si="46"/>
        <v>-0.72967870461249518</v>
      </c>
      <c r="N741">
        <f t="shared" si="47"/>
        <v>1.2940261104237933</v>
      </c>
    </row>
    <row r="742" spans="1:14" x14ac:dyDescent="0.35">
      <c r="A742">
        <v>740</v>
      </c>
      <c r="B742" t="s">
        <v>30</v>
      </c>
      <c r="C742" t="s">
        <v>33</v>
      </c>
      <c r="D742">
        <v>0.33333333333333331</v>
      </c>
      <c r="E742">
        <v>0.66666666666666674</v>
      </c>
      <c r="F742">
        <v>303.14999999999998</v>
      </c>
      <c r="G742">
        <v>2522.9</v>
      </c>
      <c r="H742">
        <f t="shared" si="44"/>
        <v>-1.4292018621311671</v>
      </c>
      <c r="I742">
        <v>0.23949999999999999</v>
      </c>
      <c r="J742" t="str">
        <f t="shared" si="45"/>
        <v>C[C@@H]1CC[C@H]([C@@H](C1)O)C(C)CCC1=CC(=C(C=C1)C(C)C)O</v>
      </c>
      <c r="K742">
        <v>66</v>
      </c>
      <c r="M742">
        <f t="shared" si="46"/>
        <v>-0.72967870461249518</v>
      </c>
      <c r="N742">
        <f t="shared" si="47"/>
        <v>0.78966245490065845</v>
      </c>
    </row>
    <row r="743" spans="1:14" x14ac:dyDescent="0.35">
      <c r="A743">
        <v>741</v>
      </c>
      <c r="B743" t="s">
        <v>30</v>
      </c>
      <c r="C743" t="s">
        <v>33</v>
      </c>
      <c r="D743">
        <v>0.33333333333333331</v>
      </c>
      <c r="E743">
        <v>0.66666666666666674</v>
      </c>
      <c r="F743">
        <v>303.14999999999998</v>
      </c>
      <c r="G743">
        <v>1647.8</v>
      </c>
      <c r="H743">
        <f t="shared" si="44"/>
        <v>-1.7963700817857382</v>
      </c>
      <c r="I743">
        <v>0.16589999999999999</v>
      </c>
      <c r="J743" t="str">
        <f t="shared" si="45"/>
        <v>C[C@@H]1CC[C@H]([C@@H](C1)O)C(C)CCC1=CC(=C(C=C1)C(C)C)O</v>
      </c>
      <c r="K743">
        <v>66</v>
      </c>
      <c r="M743">
        <f t="shared" si="46"/>
        <v>-0.72967870461249518</v>
      </c>
      <c r="N743">
        <f t="shared" si="47"/>
        <v>0.30023172197950554</v>
      </c>
    </row>
    <row r="744" spans="1:14" x14ac:dyDescent="0.35">
      <c r="A744">
        <v>742</v>
      </c>
      <c r="B744" t="s">
        <v>30</v>
      </c>
      <c r="C744" t="s">
        <v>33</v>
      </c>
      <c r="D744">
        <v>0.33333333333333331</v>
      </c>
      <c r="E744">
        <v>0.66666666666666674</v>
      </c>
      <c r="F744">
        <v>313.14999999999998</v>
      </c>
      <c r="G744">
        <v>4154.3</v>
      </c>
      <c r="H744">
        <f t="shared" si="44"/>
        <v>-1.1319622683496637</v>
      </c>
      <c r="I744">
        <v>0.32240000000000002</v>
      </c>
      <c r="J744" t="str">
        <f t="shared" si="45"/>
        <v>C[C@@H]1CC[C@H]([C@@H](C1)O)C(C)CCC1=CC(=C(C=C1)C(C)C)O</v>
      </c>
      <c r="K744">
        <v>66</v>
      </c>
      <c r="M744">
        <f t="shared" si="46"/>
        <v>5.4037971934950142E-2</v>
      </c>
      <c r="N744">
        <f t="shared" si="47"/>
        <v>1.7020808044465032</v>
      </c>
    </row>
    <row r="745" spans="1:14" x14ac:dyDescent="0.35">
      <c r="A745">
        <v>743</v>
      </c>
      <c r="B745" t="s">
        <v>30</v>
      </c>
      <c r="C745" t="s">
        <v>33</v>
      </c>
      <c r="D745">
        <v>0.33333333333333331</v>
      </c>
      <c r="E745">
        <v>0.66666666666666674</v>
      </c>
      <c r="F745">
        <v>313.14999999999998</v>
      </c>
      <c r="G745">
        <v>3470.3</v>
      </c>
      <c r="H745">
        <f t="shared" si="44"/>
        <v>-1.2676228314023921</v>
      </c>
      <c r="I745">
        <v>0.28149999999999997</v>
      </c>
      <c r="J745" t="str">
        <f t="shared" si="45"/>
        <v>C[C@@H]1CC[C@H]([C@@H](C1)O)C(C)CCC1=CC(=C(C=C1)C(C)C)O</v>
      </c>
      <c r="K745">
        <v>66</v>
      </c>
      <c r="M745">
        <f t="shared" si="46"/>
        <v>5.4037971934950142E-2</v>
      </c>
      <c r="N745">
        <f t="shared" si="47"/>
        <v>1.3195295288002129</v>
      </c>
    </row>
    <row r="746" spans="1:14" x14ac:dyDescent="0.35">
      <c r="A746">
        <v>744</v>
      </c>
      <c r="B746" t="s">
        <v>30</v>
      </c>
      <c r="C746" t="s">
        <v>33</v>
      </c>
      <c r="D746">
        <v>0.33333333333333331</v>
      </c>
      <c r="E746">
        <v>0.66666666666666674</v>
      </c>
      <c r="F746">
        <v>313.14999999999998</v>
      </c>
      <c r="G746">
        <v>2554.1</v>
      </c>
      <c r="H746">
        <f t="shared" si="44"/>
        <v>-1.505528449043589</v>
      </c>
      <c r="I746">
        <v>0.22189999999999999</v>
      </c>
      <c r="J746" t="str">
        <f t="shared" si="45"/>
        <v>C[C@@H]1CC[C@H]([C@@H](C1)O)C(C)CCC1=CC(=C(C=C1)C(C)C)O</v>
      </c>
      <c r="K746">
        <v>66</v>
      </c>
      <c r="M746">
        <f t="shared" si="46"/>
        <v>5.4037971934950142E-2</v>
      </c>
      <c r="N746">
        <f t="shared" si="47"/>
        <v>0.80711216221083992</v>
      </c>
    </row>
    <row r="747" spans="1:14" x14ac:dyDescent="0.35">
      <c r="A747">
        <v>745</v>
      </c>
      <c r="B747" t="s">
        <v>30</v>
      </c>
      <c r="C747" t="s">
        <v>33</v>
      </c>
      <c r="D747">
        <v>0.33333333333333331</v>
      </c>
      <c r="E747">
        <v>0.66666666666666674</v>
      </c>
      <c r="F747">
        <v>313.14999999999998</v>
      </c>
      <c r="G747">
        <v>1666.2</v>
      </c>
      <c r="H747">
        <f t="shared" si="44"/>
        <v>-1.8662675214031166</v>
      </c>
      <c r="I747">
        <v>0.1547</v>
      </c>
      <c r="J747" t="str">
        <f t="shared" si="45"/>
        <v>C[C@@H]1CC[C@H]([C@@H](C1)O)C(C)CCC1=CC(=C(C=C1)C(C)C)O</v>
      </c>
      <c r="K747">
        <v>66</v>
      </c>
      <c r="M747">
        <f t="shared" si="46"/>
        <v>5.4037971934950142E-2</v>
      </c>
      <c r="N747">
        <f t="shared" si="47"/>
        <v>0.3105225750085871</v>
      </c>
    </row>
    <row r="748" spans="1:14" x14ac:dyDescent="0.35">
      <c r="A748">
        <v>746</v>
      </c>
      <c r="B748" t="s">
        <v>30</v>
      </c>
      <c r="C748" t="s">
        <v>33</v>
      </c>
      <c r="D748">
        <v>0.33333333333333331</v>
      </c>
      <c r="E748">
        <v>0.66666666666666674</v>
      </c>
      <c r="F748">
        <v>323.14999999999998</v>
      </c>
      <c r="G748">
        <v>4193.8999999999996</v>
      </c>
      <c r="H748">
        <f t="shared" si="44"/>
        <v>-1.1770063560961217</v>
      </c>
      <c r="I748">
        <v>0.30819999999999997</v>
      </c>
      <c r="J748" t="str">
        <f t="shared" si="45"/>
        <v>C[C@@H]1CC[C@H]([C@@H](C1)O)C(C)CCC1=CC(=C(C=C1)C(C)C)O</v>
      </c>
      <c r="K748">
        <v>66</v>
      </c>
      <c r="M748">
        <f t="shared" si="46"/>
        <v>0.83775464848239545</v>
      </c>
      <c r="N748">
        <f t="shared" si="47"/>
        <v>1.7242285098786565</v>
      </c>
    </row>
    <row r="749" spans="1:14" x14ac:dyDescent="0.35">
      <c r="A749">
        <v>747</v>
      </c>
      <c r="B749" t="s">
        <v>30</v>
      </c>
      <c r="C749" t="s">
        <v>33</v>
      </c>
      <c r="D749">
        <v>0.33333333333333331</v>
      </c>
      <c r="E749">
        <v>0.66666666666666674</v>
      </c>
      <c r="F749">
        <v>323.14999999999998</v>
      </c>
      <c r="G749">
        <v>3505.9</v>
      </c>
      <c r="H749">
        <f t="shared" si="44"/>
        <v>-1.3409386593990935</v>
      </c>
      <c r="I749">
        <v>0.2616</v>
      </c>
      <c r="J749" t="str">
        <f t="shared" si="45"/>
        <v>C[C@@H]1CC[C@H]([C@@H](C1)O)C(C)CCC1=CC(=C(C=C1)C(C)C)O</v>
      </c>
      <c r="K749">
        <v>66</v>
      </c>
      <c r="M749">
        <f t="shared" si="46"/>
        <v>0.83775464848239545</v>
      </c>
      <c r="N749">
        <f t="shared" si="47"/>
        <v>1.3394400922695229</v>
      </c>
    </row>
    <row r="750" spans="1:14" x14ac:dyDescent="0.35">
      <c r="A750">
        <v>748</v>
      </c>
      <c r="B750" t="s">
        <v>30</v>
      </c>
      <c r="C750" t="s">
        <v>33</v>
      </c>
      <c r="D750">
        <v>0.33333333333333331</v>
      </c>
      <c r="E750">
        <v>0.66666666666666674</v>
      </c>
      <c r="F750">
        <v>323.14999999999998</v>
      </c>
      <c r="G750">
        <v>2590</v>
      </c>
      <c r="H750">
        <f t="shared" si="44"/>
        <v>-1.5663784229736533</v>
      </c>
      <c r="I750">
        <v>0.20880000000000001</v>
      </c>
      <c r="J750" t="str">
        <f t="shared" si="45"/>
        <v>C[C@@H]1CC[C@H]([C@@H](C1)O)C(C)CCC1=CC(=C(C=C1)C(C)C)O</v>
      </c>
      <c r="K750">
        <v>66</v>
      </c>
      <c r="M750">
        <f t="shared" si="46"/>
        <v>0.83775464848239545</v>
      </c>
      <c r="N750">
        <f t="shared" si="47"/>
        <v>0.8271905113273631</v>
      </c>
    </row>
    <row r="751" spans="1:14" x14ac:dyDescent="0.35">
      <c r="A751">
        <v>749</v>
      </c>
      <c r="B751" t="s">
        <v>30</v>
      </c>
      <c r="C751" t="s">
        <v>33</v>
      </c>
      <c r="D751">
        <v>0.33333333333333331</v>
      </c>
      <c r="E751">
        <v>0.66666666666666674</v>
      </c>
      <c r="F751">
        <v>323.14999999999998</v>
      </c>
      <c r="G751">
        <v>1681.9</v>
      </c>
      <c r="H751">
        <f t="shared" si="44"/>
        <v>-1.9365540541312884</v>
      </c>
      <c r="I751">
        <v>0.14419999999999999</v>
      </c>
      <c r="J751" t="str">
        <f t="shared" si="45"/>
        <v>C[C@@H]1CC[C@H]([C@@H](C1)O)C(C)CCC1=CC(=C(C=C1)C(C)C)O</v>
      </c>
      <c r="K751">
        <v>66</v>
      </c>
      <c r="M751">
        <f t="shared" si="46"/>
        <v>0.83775464848239545</v>
      </c>
      <c r="N751">
        <f t="shared" si="47"/>
        <v>0.31930335721274905</v>
      </c>
    </row>
    <row r="752" spans="1:14" x14ac:dyDescent="0.35">
      <c r="A752">
        <v>750</v>
      </c>
      <c r="B752" t="s">
        <v>7</v>
      </c>
      <c r="C752" t="s">
        <v>42</v>
      </c>
      <c r="D752">
        <v>0.33333333333333331</v>
      </c>
      <c r="E752">
        <v>0.66666666666666674</v>
      </c>
      <c r="F752">
        <v>303.14999999999998</v>
      </c>
      <c r="G752">
        <v>186.99528749999999</v>
      </c>
      <c r="H752">
        <f t="shared" si="44"/>
        <v>-4.1580764967381372</v>
      </c>
      <c r="I752">
        <v>1.5637608000000001E-2</v>
      </c>
      <c r="J752" t="str">
        <f t="shared" si="45"/>
        <v>C[N+](C)(C)CCO.[Cl-]C(C(CO)O)O</v>
      </c>
      <c r="K752">
        <v>76</v>
      </c>
      <c r="M752">
        <f t="shared" si="46"/>
        <v>-0.72967870461249518</v>
      </c>
      <c r="N752">
        <f t="shared" si="47"/>
        <v>-0.51677515848392597</v>
      </c>
    </row>
    <row r="753" spans="1:14" x14ac:dyDescent="0.35">
      <c r="A753">
        <v>751</v>
      </c>
      <c r="B753" t="s">
        <v>7</v>
      </c>
      <c r="C753" t="s">
        <v>42</v>
      </c>
      <c r="D753">
        <v>0.33333333333333331</v>
      </c>
      <c r="E753">
        <v>0.66666666666666674</v>
      </c>
      <c r="F753">
        <v>303.14999999999998</v>
      </c>
      <c r="G753">
        <v>615.99520500000006</v>
      </c>
      <c r="H753">
        <f t="shared" si="44"/>
        <v>-2.9860794919146949</v>
      </c>
      <c r="I753">
        <v>5.0484976000000001E-2</v>
      </c>
      <c r="J753" t="str">
        <f t="shared" si="45"/>
        <v>C[N+](C)(C)CCO.[Cl-]C(C(CO)O)O</v>
      </c>
      <c r="K753">
        <v>76</v>
      </c>
      <c r="M753">
        <f t="shared" si="46"/>
        <v>-0.72967870461249518</v>
      </c>
      <c r="N753">
        <f t="shared" si="47"/>
        <v>-0.27684172910998112</v>
      </c>
    </row>
    <row r="754" spans="1:14" x14ac:dyDescent="0.35">
      <c r="A754">
        <v>752</v>
      </c>
      <c r="B754" t="s">
        <v>7</v>
      </c>
      <c r="C754" t="s">
        <v>42</v>
      </c>
      <c r="D754">
        <v>0.33333333333333331</v>
      </c>
      <c r="E754">
        <v>0.66666666666666674</v>
      </c>
      <c r="F754">
        <v>303.14999999999998</v>
      </c>
      <c r="G754">
        <v>1221.999765</v>
      </c>
      <c r="H754">
        <f t="shared" si="44"/>
        <v>-2.3276228991568635</v>
      </c>
      <c r="I754">
        <v>9.7527303999999995E-2</v>
      </c>
      <c r="J754" t="str">
        <f t="shared" si="45"/>
        <v>C[N+](C)(C)CCO.[Cl-]C(C(CO)O)O</v>
      </c>
      <c r="K754">
        <v>76</v>
      </c>
      <c r="M754">
        <f t="shared" si="46"/>
        <v>-0.72967870461249518</v>
      </c>
      <c r="N754">
        <f t="shared" si="47"/>
        <v>6.2087828602692526E-2</v>
      </c>
    </row>
    <row r="755" spans="1:14" x14ac:dyDescent="0.35">
      <c r="A755">
        <v>753</v>
      </c>
      <c r="B755" t="s">
        <v>7</v>
      </c>
      <c r="C755" t="s">
        <v>42</v>
      </c>
      <c r="D755">
        <v>0.33333333333333331</v>
      </c>
      <c r="E755">
        <v>0.66666666666666674</v>
      </c>
      <c r="F755">
        <v>303.14999999999998</v>
      </c>
      <c r="G755">
        <v>1994.9980575</v>
      </c>
      <c r="H755">
        <f t="shared" si="44"/>
        <v>-1.868131338679911</v>
      </c>
      <c r="I755">
        <v>0.154411936</v>
      </c>
      <c r="J755" t="str">
        <f t="shared" si="45"/>
        <v>C[N+](C)(C)CCO.[Cl-]C(C(CO)O)O</v>
      </c>
      <c r="K755">
        <v>76</v>
      </c>
      <c r="M755">
        <f t="shared" si="46"/>
        <v>-0.72967870461249518</v>
      </c>
      <c r="N755">
        <f t="shared" si="47"/>
        <v>0.49441455794228184</v>
      </c>
    </row>
    <row r="756" spans="1:14" x14ac:dyDescent="0.35">
      <c r="A756">
        <v>754</v>
      </c>
      <c r="B756" t="s">
        <v>7</v>
      </c>
      <c r="C756" t="s">
        <v>42</v>
      </c>
      <c r="D756">
        <v>0.33333333333333331</v>
      </c>
      <c r="E756">
        <v>0.66666666666666674</v>
      </c>
      <c r="F756">
        <v>303.14999999999998</v>
      </c>
      <c r="G756">
        <v>2975.99631</v>
      </c>
      <c r="H756">
        <f t="shared" si="44"/>
        <v>-1.4895359854365684</v>
      </c>
      <c r="I756">
        <v>0.22547725600000001</v>
      </c>
      <c r="J756" t="str">
        <f t="shared" si="45"/>
        <v>C[N+](C)(C)CCO.[Cl-]C(C(CO)O)O</v>
      </c>
      <c r="K756">
        <v>76</v>
      </c>
      <c r="M756">
        <f t="shared" si="46"/>
        <v>-0.72967870461249518</v>
      </c>
      <c r="N756">
        <f t="shared" si="47"/>
        <v>1.0430726469783294</v>
      </c>
    </row>
    <row r="757" spans="1:14" x14ac:dyDescent="0.35">
      <c r="A757">
        <v>755</v>
      </c>
      <c r="B757" t="s">
        <v>7</v>
      </c>
      <c r="C757" t="s">
        <v>42</v>
      </c>
      <c r="D757">
        <v>0.33333333333333331</v>
      </c>
      <c r="E757">
        <v>0.66666666666666674</v>
      </c>
      <c r="F757">
        <v>303.14999999999998</v>
      </c>
      <c r="G757">
        <v>3976.9961175000003</v>
      </c>
      <c r="H757">
        <f t="shared" si="44"/>
        <v>-1.2104462183990576</v>
      </c>
      <c r="I757">
        <v>0.29806424799999998</v>
      </c>
      <c r="J757" t="str">
        <f t="shared" si="45"/>
        <v>C[N+](C)(C)CCO.[Cl-]C(C(CO)O)O</v>
      </c>
      <c r="K757">
        <v>76</v>
      </c>
      <c r="M757">
        <f t="shared" si="46"/>
        <v>-0.72967870461249518</v>
      </c>
      <c r="N757">
        <f t="shared" si="47"/>
        <v>1.602917315517534</v>
      </c>
    </row>
    <row r="758" spans="1:14" x14ac:dyDescent="0.35">
      <c r="A758">
        <v>756</v>
      </c>
      <c r="B758" t="s">
        <v>7</v>
      </c>
      <c r="C758" t="s">
        <v>42</v>
      </c>
      <c r="D758">
        <v>0.33333333333333331</v>
      </c>
      <c r="E758">
        <v>0.66666666666666674</v>
      </c>
      <c r="F758">
        <v>303.14999999999998</v>
      </c>
      <c r="G758">
        <v>4962.9998249999999</v>
      </c>
      <c r="H758">
        <f t="shared" si="44"/>
        <v>-1.0352039834840365</v>
      </c>
      <c r="I758">
        <v>0.35515392800000001</v>
      </c>
      <c r="J758" t="str">
        <f t="shared" si="45"/>
        <v>C[N+](C)(C)CCO.[Cl-]C(C(CO)O)O</v>
      </c>
      <c r="K758">
        <v>76</v>
      </c>
      <c r="M758">
        <f t="shared" si="46"/>
        <v>-0.72967870461249518</v>
      </c>
      <c r="N758">
        <f t="shared" si="47"/>
        <v>2.154374882909488</v>
      </c>
    </row>
    <row r="759" spans="1:14" x14ac:dyDescent="0.35">
      <c r="A759">
        <v>757</v>
      </c>
      <c r="B759" t="s">
        <v>7</v>
      </c>
      <c r="C759" t="s">
        <v>42</v>
      </c>
      <c r="D759">
        <v>0.33333333333333331</v>
      </c>
      <c r="E759">
        <v>0.66666666666666674</v>
      </c>
      <c r="F759">
        <v>303.14999999999998</v>
      </c>
      <c r="G759">
        <v>5862.9988725000003</v>
      </c>
      <c r="H759">
        <f t="shared" si="44"/>
        <v>-0.91995300983499351</v>
      </c>
      <c r="I759">
        <v>0.39853776799999996</v>
      </c>
      <c r="J759" t="str">
        <f t="shared" si="45"/>
        <v>C[N+](C)(C)CCO.[Cl-]C(C(CO)O)O</v>
      </c>
      <c r="K759">
        <v>76</v>
      </c>
      <c r="M759">
        <f t="shared" si="46"/>
        <v>-0.72967870461249518</v>
      </c>
      <c r="N759">
        <f t="shared" si="47"/>
        <v>2.6577312918299136</v>
      </c>
    </row>
    <row r="760" spans="1:14" x14ac:dyDescent="0.35">
      <c r="A760">
        <v>758</v>
      </c>
      <c r="B760" t="s">
        <v>7</v>
      </c>
      <c r="C760" t="s">
        <v>42</v>
      </c>
      <c r="D760">
        <v>0.33333333333333331</v>
      </c>
      <c r="E760">
        <v>0.66666666666666674</v>
      </c>
      <c r="F760">
        <v>313.14999999999998</v>
      </c>
      <c r="G760">
        <v>190.997625</v>
      </c>
      <c r="H760">
        <f t="shared" si="44"/>
        <v>-4.4309164198053166</v>
      </c>
      <c r="I760">
        <v>1.1903575999999999E-2</v>
      </c>
      <c r="J760" t="str">
        <f t="shared" si="45"/>
        <v>C[N+](C)(C)CCO.[Cl-]C(C(CO)O)O</v>
      </c>
      <c r="K760">
        <v>76</v>
      </c>
      <c r="M760">
        <f t="shared" si="46"/>
        <v>5.4037971934950142E-2</v>
      </c>
      <c r="N760">
        <f t="shared" si="47"/>
        <v>-0.51453670919124761</v>
      </c>
    </row>
    <row r="761" spans="1:14" x14ac:dyDescent="0.35">
      <c r="A761">
        <v>759</v>
      </c>
      <c r="B761" t="s">
        <v>7</v>
      </c>
      <c r="C761" t="s">
        <v>42</v>
      </c>
      <c r="D761">
        <v>0.33333333333333331</v>
      </c>
      <c r="E761">
        <v>0.66666666666666674</v>
      </c>
      <c r="F761">
        <v>313.14999999999998</v>
      </c>
      <c r="G761">
        <v>622.00377750000007</v>
      </c>
      <c r="H761">
        <f t="shared" si="44"/>
        <v>-3.2441349679066454</v>
      </c>
      <c r="I761">
        <v>3.9002288000000003E-2</v>
      </c>
      <c r="J761" t="str">
        <f t="shared" si="45"/>
        <v>C[N+](C)(C)CCO.[Cl-]C(C(CO)O)O</v>
      </c>
      <c r="K761">
        <v>76</v>
      </c>
      <c r="M761">
        <f t="shared" si="46"/>
        <v>5.4037971934950142E-2</v>
      </c>
      <c r="N761">
        <f t="shared" si="47"/>
        <v>-0.27348122169084627</v>
      </c>
    </row>
    <row r="762" spans="1:14" x14ac:dyDescent="0.35">
      <c r="A762">
        <v>760</v>
      </c>
      <c r="B762" t="s">
        <v>7</v>
      </c>
      <c r="C762" t="s">
        <v>42</v>
      </c>
      <c r="D762">
        <v>0.33333333333333331</v>
      </c>
      <c r="E762">
        <v>0.66666666666666674</v>
      </c>
      <c r="F762">
        <v>313.14999999999998</v>
      </c>
      <c r="G762">
        <v>1239.0020999999999</v>
      </c>
      <c r="H762">
        <f t="shared" si="44"/>
        <v>-2.5619776732919677</v>
      </c>
      <c r="I762">
        <v>7.7152007999999994E-2</v>
      </c>
      <c r="J762" t="str">
        <f t="shared" si="45"/>
        <v>C[N+](C)(C)CCO.[Cl-]C(C(CO)O)O</v>
      </c>
      <c r="K762">
        <v>76</v>
      </c>
      <c r="M762">
        <f t="shared" si="46"/>
        <v>5.4037971934950142E-2</v>
      </c>
      <c r="N762">
        <f t="shared" si="47"/>
        <v>7.159698787639944E-2</v>
      </c>
    </row>
    <row r="763" spans="1:14" x14ac:dyDescent="0.35">
      <c r="A763">
        <v>761</v>
      </c>
      <c r="B763" t="s">
        <v>7</v>
      </c>
      <c r="C763" t="s">
        <v>42</v>
      </c>
      <c r="D763">
        <v>0.33333333333333331</v>
      </c>
      <c r="E763">
        <v>0.66666666666666674</v>
      </c>
      <c r="F763">
        <v>313.14999999999998</v>
      </c>
      <c r="G763">
        <v>2012.0003925000001</v>
      </c>
      <c r="H763">
        <f t="shared" si="44"/>
        <v>-2.0776002938175244</v>
      </c>
      <c r="I763">
        <v>0.12523036800000001</v>
      </c>
      <c r="J763" t="str">
        <f t="shared" si="45"/>
        <v>C[N+](C)(C)CCO.[Cl-]C(C(CO)O)O</v>
      </c>
      <c r="K763">
        <v>76</v>
      </c>
      <c r="M763">
        <f t="shared" si="46"/>
        <v>5.4037971934950142E-2</v>
      </c>
      <c r="N763">
        <f t="shared" si="47"/>
        <v>0.50392371721598894</v>
      </c>
    </row>
    <row r="764" spans="1:14" x14ac:dyDescent="0.35">
      <c r="A764">
        <v>762</v>
      </c>
      <c r="B764" t="s">
        <v>7</v>
      </c>
      <c r="C764" t="s">
        <v>42</v>
      </c>
      <c r="D764">
        <v>0.33333333333333331</v>
      </c>
      <c r="E764">
        <v>0.66666666666666674</v>
      </c>
      <c r="F764">
        <v>313.14999999999998</v>
      </c>
      <c r="G764">
        <v>2978.0025449999998</v>
      </c>
      <c r="H764">
        <f t="shared" si="44"/>
        <v>-1.7433835165466438</v>
      </c>
      <c r="I764">
        <v>0.174927528</v>
      </c>
      <c r="J764" t="str">
        <f t="shared" si="45"/>
        <v>C[N+](C)(C)CCO.[Cl-]C(C(CO)O)O</v>
      </c>
      <c r="K764">
        <v>76</v>
      </c>
      <c r="M764">
        <f t="shared" si="46"/>
        <v>5.4037971934950142E-2</v>
      </c>
      <c r="N764">
        <f t="shared" si="47"/>
        <v>1.0441947051047857</v>
      </c>
    </row>
    <row r="765" spans="1:14" x14ac:dyDescent="0.35">
      <c r="A765">
        <v>763</v>
      </c>
      <c r="B765" t="s">
        <v>7</v>
      </c>
      <c r="C765" t="s">
        <v>42</v>
      </c>
      <c r="D765">
        <v>0.33333333333333331</v>
      </c>
      <c r="E765">
        <v>0.66666666666666674</v>
      </c>
      <c r="F765">
        <v>313.14999999999998</v>
      </c>
      <c r="G765">
        <v>4002.0031275000001</v>
      </c>
      <c r="H765">
        <f t="shared" si="44"/>
        <v>-1.438817211101207</v>
      </c>
      <c r="I765">
        <v>0.23720816</v>
      </c>
      <c r="J765" t="str">
        <f t="shared" si="45"/>
        <v>C[N+](C)(C)CCO.[Cl-]C(C(CO)O)O</v>
      </c>
      <c r="K765">
        <v>76</v>
      </c>
      <c r="M765">
        <f t="shared" si="46"/>
        <v>5.4037971934950142E-2</v>
      </c>
      <c r="N765">
        <f t="shared" si="47"/>
        <v>1.6169033733765976</v>
      </c>
    </row>
    <row r="766" spans="1:14" x14ac:dyDescent="0.35">
      <c r="A766">
        <v>764</v>
      </c>
      <c r="B766" t="s">
        <v>7</v>
      </c>
      <c r="C766" t="s">
        <v>42</v>
      </c>
      <c r="D766">
        <v>0.33333333333333331</v>
      </c>
      <c r="E766">
        <v>0.66666666666666674</v>
      </c>
      <c r="F766">
        <v>313.14999999999998</v>
      </c>
      <c r="G766">
        <v>5039.9966924999999</v>
      </c>
      <c r="H766">
        <f t="shared" si="44"/>
        <v>-1.2238599423930503</v>
      </c>
      <c r="I766">
        <v>0.29409279199999999</v>
      </c>
      <c r="J766" t="str">
        <f t="shared" si="45"/>
        <v>C[N+](C)(C)CCO.[Cl-]C(C(CO)O)O</v>
      </c>
      <c r="K766">
        <v>76</v>
      </c>
      <c r="M766">
        <f t="shared" si="46"/>
        <v>5.4037971934950142E-2</v>
      </c>
      <c r="N766">
        <f t="shared" si="47"/>
        <v>2.1974381137324315</v>
      </c>
    </row>
    <row r="767" spans="1:14" x14ac:dyDescent="0.35">
      <c r="A767">
        <v>765</v>
      </c>
      <c r="B767" t="s">
        <v>7</v>
      </c>
      <c r="C767" t="s">
        <v>42</v>
      </c>
      <c r="D767">
        <v>0.33333333333333331</v>
      </c>
      <c r="E767">
        <v>0.66666666666666674</v>
      </c>
      <c r="F767">
        <v>313.14999999999998</v>
      </c>
      <c r="G767">
        <v>5991.0027450000007</v>
      </c>
      <c r="H767">
        <f t="shared" si="44"/>
        <v>-1.1041013580832457</v>
      </c>
      <c r="I767">
        <v>0.33150865600000001</v>
      </c>
      <c r="J767" t="str">
        <f t="shared" si="45"/>
        <v>C[N+](C)(C)CCO.[Cl-]C(C(CO)O)O</v>
      </c>
      <c r="K767">
        <v>76</v>
      </c>
      <c r="M767">
        <f t="shared" si="46"/>
        <v>5.4037971934950142E-2</v>
      </c>
      <c r="N767">
        <f t="shared" si="47"/>
        <v>2.7293220004739784</v>
      </c>
    </row>
    <row r="768" spans="1:14" x14ac:dyDescent="0.35">
      <c r="A768">
        <v>766</v>
      </c>
      <c r="B768" t="s">
        <v>7</v>
      </c>
      <c r="C768" t="s">
        <v>42</v>
      </c>
      <c r="D768">
        <v>0.33333333333333331</v>
      </c>
      <c r="E768">
        <v>0.66666666666666674</v>
      </c>
      <c r="F768">
        <v>323.14999999999998</v>
      </c>
      <c r="G768">
        <v>196.00307999999998</v>
      </c>
      <c r="H768">
        <f t="shared" si="44"/>
        <v>-4.6477336960666493</v>
      </c>
      <c r="I768">
        <v>9.5832960000000016E-3</v>
      </c>
      <c r="J768" t="str">
        <f t="shared" si="45"/>
        <v>C[N+](C)(C)CCO.[Cl-]C(C(CO)O)O</v>
      </c>
      <c r="K768">
        <v>76</v>
      </c>
      <c r="M768">
        <f t="shared" si="46"/>
        <v>0.83775464848239545</v>
      </c>
      <c r="N768">
        <f t="shared" si="47"/>
        <v>-0.51173723083534106</v>
      </c>
    </row>
    <row r="769" spans="1:14" x14ac:dyDescent="0.35">
      <c r="A769">
        <v>767</v>
      </c>
      <c r="B769" t="s">
        <v>7</v>
      </c>
      <c r="C769" t="s">
        <v>42</v>
      </c>
      <c r="D769">
        <v>0.33333333333333331</v>
      </c>
      <c r="E769">
        <v>0.66666666666666674</v>
      </c>
      <c r="F769">
        <v>323.14999999999998</v>
      </c>
      <c r="G769">
        <v>625.99598249999997</v>
      </c>
      <c r="H769">
        <f t="shared" si="44"/>
        <v>-3.5072189157445304</v>
      </c>
      <c r="I769">
        <v>2.9980176000000001E-2</v>
      </c>
      <c r="J769" t="str">
        <f t="shared" si="45"/>
        <v>C[N+](C)(C)CCO.[Cl-]C(C(CO)O)O</v>
      </c>
      <c r="K769">
        <v>76</v>
      </c>
      <c r="M769">
        <f t="shared" si="46"/>
        <v>0.83775464848239545</v>
      </c>
      <c r="N769">
        <f t="shared" si="47"/>
        <v>-0.27124843935840265</v>
      </c>
    </row>
    <row r="770" spans="1:14" x14ac:dyDescent="0.35">
      <c r="A770">
        <v>768</v>
      </c>
      <c r="B770" t="s">
        <v>7</v>
      </c>
      <c r="C770" t="s">
        <v>42</v>
      </c>
      <c r="D770">
        <v>0.33333333333333331</v>
      </c>
      <c r="E770">
        <v>0.66666666666666674</v>
      </c>
      <c r="F770">
        <v>323.14999999999998</v>
      </c>
      <c r="G770">
        <v>1271.0005349999999</v>
      </c>
      <c r="H770">
        <f t="shared" si="44"/>
        <v>-2.8133520518141912</v>
      </c>
      <c r="I770">
        <v>6.0003520000000012E-2</v>
      </c>
      <c r="J770" t="str">
        <f t="shared" si="45"/>
        <v>C[N+](C)(C)CCO.[Cl-]C(C(CO)O)O</v>
      </c>
      <c r="K770">
        <v>76</v>
      </c>
      <c r="M770">
        <f t="shared" si="46"/>
        <v>0.83775464848239545</v>
      </c>
      <c r="N770">
        <f t="shared" si="47"/>
        <v>8.9493248297356873E-2</v>
      </c>
    </row>
    <row r="771" spans="1:14" x14ac:dyDescent="0.35">
      <c r="A771">
        <v>769</v>
      </c>
      <c r="B771" t="s">
        <v>7</v>
      </c>
      <c r="C771" t="s">
        <v>42</v>
      </c>
      <c r="D771">
        <v>0.33333333333333331</v>
      </c>
      <c r="E771">
        <v>0.66666666666666674</v>
      </c>
      <c r="F771">
        <v>323.14999999999998</v>
      </c>
      <c r="G771">
        <v>2071.0019400000001</v>
      </c>
      <c r="H771">
        <f t="shared" ref="H771:H834" si="48">LN(I771)</f>
        <v>-2.3241984274313996</v>
      </c>
      <c r="I771">
        <v>9.7861855999999997E-2</v>
      </c>
      <c r="J771" t="str">
        <f t="shared" ref="J771:J834" si="49">_xlfn.CONCAT(B771,C771)</f>
        <v>C[N+](C)(C)CCO.[Cl-]C(C(CO)O)O</v>
      </c>
      <c r="K771">
        <v>76</v>
      </c>
      <c r="M771">
        <f t="shared" ref="M771:M834" si="50">(F771-$L$3)/$L$2</f>
        <v>0.83775464848239545</v>
      </c>
      <c r="N771">
        <f t="shared" ref="N771:N834" si="51">(G771-$L$6)/$L$5</f>
        <v>0.53692242666223189</v>
      </c>
    </row>
    <row r="772" spans="1:14" x14ac:dyDescent="0.35">
      <c r="A772">
        <v>770</v>
      </c>
      <c r="B772" t="s">
        <v>7</v>
      </c>
      <c r="C772" t="s">
        <v>42</v>
      </c>
      <c r="D772">
        <v>0.33333333333333331</v>
      </c>
      <c r="E772">
        <v>0.66666666666666674</v>
      </c>
      <c r="F772">
        <v>323.14999999999998</v>
      </c>
      <c r="G772">
        <v>3017.9955225000003</v>
      </c>
      <c r="H772">
        <f t="shared" si="48"/>
        <v>-1.9460853243976177</v>
      </c>
      <c r="I772">
        <v>0.14283212000000001</v>
      </c>
      <c r="J772" t="str">
        <f t="shared" si="49"/>
        <v>C[N+](C)(C)CCO.[Cl-]C(C(CO)O)O</v>
      </c>
      <c r="K772">
        <v>76</v>
      </c>
      <c r="M772">
        <f t="shared" si="50"/>
        <v>0.83775464848239545</v>
      </c>
      <c r="N772">
        <f t="shared" si="51"/>
        <v>1.0665621971508654</v>
      </c>
    </row>
    <row r="773" spans="1:14" x14ac:dyDescent="0.35">
      <c r="A773">
        <v>771</v>
      </c>
      <c r="B773" t="s">
        <v>7</v>
      </c>
      <c r="C773" t="s">
        <v>42</v>
      </c>
      <c r="D773">
        <v>0.33333333333333331</v>
      </c>
      <c r="E773">
        <v>0.66666666666666674</v>
      </c>
      <c r="F773">
        <v>323.14999999999998</v>
      </c>
      <c r="G773">
        <v>4034.0015625000001</v>
      </c>
      <c r="H773">
        <f t="shared" si="48"/>
        <v>-1.6651505577835171</v>
      </c>
      <c r="I773">
        <v>0.18916217599999999</v>
      </c>
      <c r="J773" t="str">
        <f t="shared" si="49"/>
        <v>C[N+](C)(C)CCO.[Cl-]C(C(CO)O)O</v>
      </c>
      <c r="K773">
        <v>76</v>
      </c>
      <c r="M773">
        <f t="shared" si="50"/>
        <v>0.83775464848239545</v>
      </c>
      <c r="N773">
        <f t="shared" si="51"/>
        <v>1.634799633797555</v>
      </c>
    </row>
    <row r="774" spans="1:14" x14ac:dyDescent="0.35">
      <c r="A774">
        <v>772</v>
      </c>
      <c r="B774" t="s">
        <v>7</v>
      </c>
      <c r="C774" t="s">
        <v>42</v>
      </c>
      <c r="D774">
        <v>0.33333333333333331</v>
      </c>
      <c r="E774">
        <v>0.66666666666666674</v>
      </c>
      <c r="F774">
        <v>323.14999999999998</v>
      </c>
      <c r="G774">
        <v>5150.9982300000001</v>
      </c>
      <c r="H774">
        <f t="shared" si="48"/>
        <v>-1.4045168915069575</v>
      </c>
      <c r="I774">
        <v>0.24548562400000004</v>
      </c>
      <c r="J774" t="str">
        <f t="shared" si="49"/>
        <v>C[N+](C)(C)CCO.[Cl-]C(C(CO)O)O</v>
      </c>
      <c r="K774">
        <v>76</v>
      </c>
      <c r="M774">
        <f t="shared" si="50"/>
        <v>0.83775464848239545</v>
      </c>
      <c r="N774">
        <f t="shared" si="51"/>
        <v>2.2595196631027892</v>
      </c>
    </row>
    <row r="775" spans="1:14" x14ac:dyDescent="0.35">
      <c r="A775">
        <v>773</v>
      </c>
      <c r="B775" t="s">
        <v>7</v>
      </c>
      <c r="C775" t="s">
        <v>42</v>
      </c>
      <c r="D775">
        <v>0.33333333333333331</v>
      </c>
      <c r="E775">
        <v>0.66666666666666674</v>
      </c>
      <c r="F775">
        <v>323.14999999999998</v>
      </c>
      <c r="G775">
        <v>6170.0034900000001</v>
      </c>
      <c r="H775">
        <f t="shared" si="48"/>
        <v>-1.251503585850702</v>
      </c>
      <c r="I775">
        <v>0.28607433599999998</v>
      </c>
      <c r="J775" t="str">
        <f t="shared" si="49"/>
        <v>C[N+](C)(C)CCO.[Cl-]C(C(CO)O)O</v>
      </c>
      <c r="K775">
        <v>76</v>
      </c>
      <c r="M775">
        <f t="shared" si="50"/>
        <v>0.83775464848239545</v>
      </c>
      <c r="N775">
        <f t="shared" si="51"/>
        <v>2.8294345199789288</v>
      </c>
    </row>
    <row r="776" spans="1:14" x14ac:dyDescent="0.35">
      <c r="A776">
        <v>774</v>
      </c>
      <c r="B776" t="s">
        <v>7</v>
      </c>
      <c r="C776" t="s">
        <v>42</v>
      </c>
      <c r="D776">
        <v>0.33333333333333331</v>
      </c>
      <c r="E776">
        <v>0.66666666666666674</v>
      </c>
      <c r="F776">
        <v>333.15</v>
      </c>
      <c r="G776">
        <v>200.9984025</v>
      </c>
      <c r="H776">
        <f t="shared" si="48"/>
        <v>-4.8616295984591993</v>
      </c>
      <c r="I776">
        <v>7.7378639999999997E-3</v>
      </c>
      <c r="J776" t="str">
        <f t="shared" si="49"/>
        <v>C[N+](C)(C)CCO.[Cl-]C(C(CO)O)O</v>
      </c>
      <c r="K776">
        <v>76</v>
      </c>
      <c r="M776">
        <f t="shared" si="50"/>
        <v>1.6214713250298407</v>
      </c>
      <c r="N776">
        <f t="shared" si="51"/>
        <v>-0.50894341943966903</v>
      </c>
    </row>
    <row r="777" spans="1:14" x14ac:dyDescent="0.35">
      <c r="A777">
        <v>775</v>
      </c>
      <c r="B777" t="s">
        <v>7</v>
      </c>
      <c r="C777" t="s">
        <v>42</v>
      </c>
      <c r="D777">
        <v>0.33333333333333331</v>
      </c>
      <c r="E777">
        <v>0.66666666666666674</v>
      </c>
      <c r="F777">
        <v>333.15</v>
      </c>
      <c r="G777">
        <v>635.99675999999999</v>
      </c>
      <c r="H777">
        <f t="shared" si="48"/>
        <v>-3.7667434435852423</v>
      </c>
      <c r="I777">
        <v>2.3127255999999999E-2</v>
      </c>
      <c r="J777" t="str">
        <f t="shared" si="49"/>
        <v>C[N+](C)(C)CCO.[Cl-]C(C(CO)O)O</v>
      </c>
      <c r="K777">
        <v>76</v>
      </c>
      <c r="M777">
        <f t="shared" si="50"/>
        <v>1.6214713250298407</v>
      </c>
      <c r="N777">
        <f t="shared" si="51"/>
        <v>-0.26565514960682407</v>
      </c>
    </row>
    <row r="778" spans="1:14" x14ac:dyDescent="0.35">
      <c r="A778">
        <v>776</v>
      </c>
      <c r="B778" t="s">
        <v>7</v>
      </c>
      <c r="C778" t="s">
        <v>42</v>
      </c>
      <c r="D778">
        <v>0.33333333333333331</v>
      </c>
      <c r="E778">
        <v>0.66666666666666674</v>
      </c>
      <c r="F778">
        <v>333.15</v>
      </c>
      <c r="G778">
        <v>1307.0013074999999</v>
      </c>
      <c r="H778">
        <f t="shared" si="48"/>
        <v>-3.0376203361229108</v>
      </c>
      <c r="I778">
        <v>4.7948855999999998E-2</v>
      </c>
      <c r="J778" t="str">
        <f t="shared" si="49"/>
        <v>C[N+](C)(C)CCO.[Cl-]C(C(CO)O)O</v>
      </c>
      <c r="K778">
        <v>76</v>
      </c>
      <c r="M778">
        <f t="shared" si="50"/>
        <v>1.6214713250298407</v>
      </c>
      <c r="N778">
        <f t="shared" si="51"/>
        <v>0.10962795801099269</v>
      </c>
    </row>
    <row r="779" spans="1:14" x14ac:dyDescent="0.35">
      <c r="A779">
        <v>777</v>
      </c>
      <c r="B779" t="s">
        <v>7</v>
      </c>
      <c r="C779" t="s">
        <v>42</v>
      </c>
      <c r="D779">
        <v>0.33333333333333331</v>
      </c>
      <c r="E779">
        <v>0.66666666666666674</v>
      </c>
      <c r="F779">
        <v>333.15</v>
      </c>
      <c r="G779">
        <v>2130.9964725</v>
      </c>
      <c r="H779">
        <f t="shared" si="48"/>
        <v>-2.5480866317579416</v>
      </c>
      <c r="I779">
        <v>7.8231207999999997E-2</v>
      </c>
      <c r="J779" t="str">
        <f t="shared" si="49"/>
        <v>C[N+](C)(C)CCO.[Cl-]C(C(CO)O)O</v>
      </c>
      <c r="K779">
        <v>76</v>
      </c>
      <c r="M779">
        <f t="shared" si="50"/>
        <v>1.6214713250298407</v>
      </c>
      <c r="N779">
        <f t="shared" si="51"/>
        <v>0.5704764982114684</v>
      </c>
    </row>
    <row r="780" spans="1:14" x14ac:dyDescent="0.35">
      <c r="A780">
        <v>778</v>
      </c>
      <c r="B780" t="s">
        <v>7</v>
      </c>
      <c r="C780" t="s">
        <v>42</v>
      </c>
      <c r="D780">
        <v>0.33333333333333331</v>
      </c>
      <c r="E780">
        <v>0.66666666666666674</v>
      </c>
      <c r="F780">
        <v>333.15</v>
      </c>
      <c r="G780">
        <v>3102.0040800000002</v>
      </c>
      <c r="H780">
        <f t="shared" si="48"/>
        <v>-2.1732983461459443</v>
      </c>
      <c r="I780">
        <v>0.11380164000000001</v>
      </c>
      <c r="J780" t="str">
        <f t="shared" si="49"/>
        <v>C[N+](C)(C)CCO.[Cl-]C(C(CO)O)O</v>
      </c>
      <c r="K780">
        <v>76</v>
      </c>
      <c r="M780">
        <f t="shared" si="50"/>
        <v>1.6214713250298407</v>
      </c>
      <c r="N780">
        <f t="shared" si="51"/>
        <v>1.113546964456172</v>
      </c>
    </row>
    <row r="781" spans="1:14" x14ac:dyDescent="0.35">
      <c r="A781">
        <v>779</v>
      </c>
      <c r="B781" t="s">
        <v>7</v>
      </c>
      <c r="C781" t="s">
        <v>42</v>
      </c>
      <c r="D781">
        <v>0.33333333333333331</v>
      </c>
      <c r="E781">
        <v>0.66666666666666674</v>
      </c>
      <c r="F781">
        <v>333.15</v>
      </c>
      <c r="G781">
        <v>4070.0023349999997</v>
      </c>
      <c r="H781">
        <f t="shared" si="48"/>
        <v>-1.9034847839808906</v>
      </c>
      <c r="I781">
        <v>0.14904831200000002</v>
      </c>
      <c r="J781" t="str">
        <f t="shared" si="49"/>
        <v>C[N+](C)(C)CCO.[Cl-]C(C(CO)O)O</v>
      </c>
      <c r="K781">
        <v>76</v>
      </c>
      <c r="M781">
        <f t="shared" si="50"/>
        <v>1.6214713250298407</v>
      </c>
      <c r="N781">
        <f t="shared" si="51"/>
        <v>1.6549343435111905</v>
      </c>
    </row>
    <row r="782" spans="1:14" x14ac:dyDescent="0.35">
      <c r="A782">
        <v>780</v>
      </c>
      <c r="B782" t="s">
        <v>7</v>
      </c>
      <c r="C782" t="s">
        <v>42</v>
      </c>
      <c r="D782">
        <v>0.33333333333333331</v>
      </c>
      <c r="E782">
        <v>0.66666666666666674</v>
      </c>
      <c r="F782">
        <v>333.15</v>
      </c>
      <c r="G782">
        <v>5286.0036600000003</v>
      </c>
      <c r="H782">
        <f t="shared" si="48"/>
        <v>-1.6426979871415124</v>
      </c>
      <c r="I782">
        <v>0.19345739200000001</v>
      </c>
      <c r="J782" t="str">
        <f t="shared" si="49"/>
        <v>C[N+](C)(C)CCO.[Cl-]C(C(CO)O)O</v>
      </c>
      <c r="K782">
        <v>76</v>
      </c>
      <c r="M782">
        <f t="shared" si="50"/>
        <v>1.6214713250298407</v>
      </c>
      <c r="N782">
        <f t="shared" si="51"/>
        <v>2.3350262412689817</v>
      </c>
    </row>
    <row r="783" spans="1:14" x14ac:dyDescent="0.35">
      <c r="A783">
        <v>781</v>
      </c>
      <c r="B783" t="s">
        <v>7</v>
      </c>
      <c r="C783" t="s">
        <v>42</v>
      </c>
      <c r="D783">
        <v>0.33333333333333331</v>
      </c>
      <c r="E783">
        <v>0.66666666666666674</v>
      </c>
      <c r="F783">
        <v>333.15</v>
      </c>
      <c r="G783">
        <v>6255.0050324999993</v>
      </c>
      <c r="H783">
        <f t="shared" si="48"/>
        <v>-1.4729227307389359</v>
      </c>
      <c r="I783">
        <v>0.22925445599999997</v>
      </c>
      <c r="J783" t="str">
        <f t="shared" si="49"/>
        <v>C[N+](C)(C)CCO.[Cl-]C(C(CO)O)O</v>
      </c>
      <c r="K783">
        <v>76</v>
      </c>
      <c r="M783">
        <f t="shared" si="50"/>
        <v>1.6214713250298407</v>
      </c>
      <c r="N783">
        <f t="shared" si="51"/>
        <v>2.8769746493872286</v>
      </c>
    </row>
    <row r="784" spans="1:14" x14ac:dyDescent="0.35">
      <c r="A784">
        <v>782</v>
      </c>
      <c r="B784" t="s">
        <v>7</v>
      </c>
      <c r="C784" t="s">
        <v>42</v>
      </c>
      <c r="D784">
        <v>0.33333333333333331</v>
      </c>
      <c r="E784">
        <v>0.66666666666666674</v>
      </c>
      <c r="F784">
        <v>343.15</v>
      </c>
      <c r="G784">
        <v>203.0046375</v>
      </c>
      <c r="H784">
        <f t="shared" si="48"/>
        <v>-5.148846878897035</v>
      </c>
      <c r="I784">
        <v>5.8060960000000002E-3</v>
      </c>
      <c r="J784" t="str">
        <f t="shared" si="49"/>
        <v>C[N+](C)(C)CCO.[Cl-]C(C(CO)O)O</v>
      </c>
      <c r="K784">
        <v>76</v>
      </c>
      <c r="M784">
        <f t="shared" si="50"/>
        <v>2.4051880015772862</v>
      </c>
      <c r="N784">
        <f t="shared" si="51"/>
        <v>-0.50782136131321265</v>
      </c>
    </row>
    <row r="785" spans="1:14" x14ac:dyDescent="0.35">
      <c r="A785">
        <v>783</v>
      </c>
      <c r="B785" t="s">
        <v>7</v>
      </c>
      <c r="C785" t="s">
        <v>42</v>
      </c>
      <c r="D785">
        <v>0.33333333333333331</v>
      </c>
      <c r="E785">
        <v>0.66666666666666674</v>
      </c>
      <c r="F785">
        <v>343.15</v>
      </c>
      <c r="G785">
        <v>648.99675749999994</v>
      </c>
      <c r="H785">
        <f t="shared" si="48"/>
        <v>-3.98604464284728</v>
      </c>
      <c r="I785">
        <v>1.8573032E-2</v>
      </c>
      <c r="J785" t="str">
        <f t="shared" si="49"/>
        <v>C[N+](C)(C)CCO.[Cl-]C(C(CO)O)O</v>
      </c>
      <c r="K785">
        <v>76</v>
      </c>
      <c r="M785">
        <f t="shared" si="50"/>
        <v>2.4051880015772862</v>
      </c>
      <c r="N785">
        <f t="shared" si="51"/>
        <v>-0.25838443962579549</v>
      </c>
    </row>
    <row r="786" spans="1:14" x14ac:dyDescent="0.35">
      <c r="A786">
        <v>784</v>
      </c>
      <c r="B786" t="s">
        <v>7</v>
      </c>
      <c r="C786" t="s">
        <v>42</v>
      </c>
      <c r="D786">
        <v>0.33333333333333331</v>
      </c>
      <c r="E786">
        <v>0.66666666666666674</v>
      </c>
      <c r="F786">
        <v>343.15</v>
      </c>
      <c r="G786">
        <v>1337.996625</v>
      </c>
      <c r="H786">
        <f t="shared" si="48"/>
        <v>-3.24662838933977</v>
      </c>
      <c r="I786">
        <v>3.8905160000000001E-2</v>
      </c>
      <c r="J786" t="str">
        <f t="shared" si="49"/>
        <v>C[N+](C)(C)CCO.[Cl-]C(C(CO)O)O</v>
      </c>
      <c r="K786">
        <v>76</v>
      </c>
      <c r="M786">
        <f t="shared" si="50"/>
        <v>2.4051880015772862</v>
      </c>
      <c r="N786">
        <f t="shared" si="51"/>
        <v>0.12696318936872195</v>
      </c>
    </row>
    <row r="787" spans="1:14" x14ac:dyDescent="0.35">
      <c r="A787">
        <v>785</v>
      </c>
      <c r="B787" t="s">
        <v>7</v>
      </c>
      <c r="C787" t="s">
        <v>42</v>
      </c>
      <c r="D787">
        <v>0.33333333333333331</v>
      </c>
      <c r="E787">
        <v>0.66666666666666674</v>
      </c>
      <c r="F787">
        <v>343.15</v>
      </c>
      <c r="G787">
        <v>2170.9995825000001</v>
      </c>
      <c r="H787">
        <f t="shared" si="48"/>
        <v>-2.77714500635566</v>
      </c>
      <c r="I787">
        <v>6.2215880000000008E-2</v>
      </c>
      <c r="J787" t="str">
        <f t="shared" si="49"/>
        <v>C[N+](C)(C)CCO.[Cl-]C(C(CO)O)O</v>
      </c>
      <c r="K787">
        <v>76</v>
      </c>
      <c r="M787">
        <f t="shared" si="50"/>
        <v>2.4051880015772862</v>
      </c>
      <c r="N787">
        <f t="shared" si="51"/>
        <v>0.5928496572177826</v>
      </c>
    </row>
    <row r="788" spans="1:14" x14ac:dyDescent="0.35">
      <c r="A788">
        <v>786</v>
      </c>
      <c r="B788" t="s">
        <v>7</v>
      </c>
      <c r="C788" t="s">
        <v>42</v>
      </c>
      <c r="D788">
        <v>0.33333333333333331</v>
      </c>
      <c r="E788">
        <v>0.66666666666666674</v>
      </c>
      <c r="F788">
        <v>343.15</v>
      </c>
      <c r="G788">
        <v>3164.0048475000003</v>
      </c>
      <c r="H788">
        <f t="shared" si="48"/>
        <v>-2.4110093192462365</v>
      </c>
      <c r="I788">
        <v>8.9724687999999997E-2</v>
      </c>
      <c r="J788" t="str">
        <f t="shared" si="49"/>
        <v>C[N+](C)(C)CCO.[Cl-]C(C(CO)O)O</v>
      </c>
      <c r="K788">
        <v>76</v>
      </c>
      <c r="M788">
        <f t="shared" si="50"/>
        <v>2.4051880015772862</v>
      </c>
      <c r="N788">
        <f t="shared" si="51"/>
        <v>1.1482230941318652</v>
      </c>
    </row>
    <row r="789" spans="1:14" x14ac:dyDescent="0.35">
      <c r="A789">
        <v>787</v>
      </c>
      <c r="B789" t="s">
        <v>7</v>
      </c>
      <c r="C789" t="s">
        <v>42</v>
      </c>
      <c r="D789">
        <v>0.33333333333333331</v>
      </c>
      <c r="E789">
        <v>0.66666666666666674</v>
      </c>
      <c r="F789">
        <v>343.15</v>
      </c>
      <c r="G789">
        <v>4197.0030900000002</v>
      </c>
      <c r="H789">
        <f t="shared" si="48"/>
        <v>-2.1359760673549557</v>
      </c>
      <c r="I789">
        <v>0.118129232</v>
      </c>
      <c r="J789" t="str">
        <f t="shared" si="49"/>
        <v>C[N+](C)(C)CCO.[Cl-]C(C(CO)O)O</v>
      </c>
      <c r="K789">
        <v>76</v>
      </c>
      <c r="M789">
        <f t="shared" si="50"/>
        <v>2.4051880015772862</v>
      </c>
      <c r="N789">
        <f t="shared" si="51"/>
        <v>1.725964023092027</v>
      </c>
    </row>
    <row r="790" spans="1:14" x14ac:dyDescent="0.35">
      <c r="A790">
        <v>788</v>
      </c>
      <c r="B790" t="s">
        <v>7</v>
      </c>
      <c r="C790" t="s">
        <v>42</v>
      </c>
      <c r="D790">
        <v>0.33333333333333331</v>
      </c>
      <c r="E790">
        <v>0.66666666666666674</v>
      </c>
      <c r="F790">
        <v>343.15</v>
      </c>
      <c r="G790">
        <v>5308.0013174999995</v>
      </c>
      <c r="H790">
        <f t="shared" si="48"/>
        <v>-1.9100226541376442</v>
      </c>
      <c r="I790">
        <v>0.148077032</v>
      </c>
      <c r="J790" t="str">
        <f t="shared" si="49"/>
        <v>C[N+](C)(C)CCO.[Cl-]C(C(CO)O)O</v>
      </c>
      <c r="K790">
        <v>76</v>
      </c>
      <c r="M790">
        <f t="shared" si="50"/>
        <v>2.4051880015772862</v>
      </c>
      <c r="N790">
        <f t="shared" si="51"/>
        <v>2.3473292119383604</v>
      </c>
    </row>
    <row r="791" spans="1:14" x14ac:dyDescent="0.35">
      <c r="A791">
        <v>789</v>
      </c>
      <c r="B791" t="s">
        <v>7</v>
      </c>
      <c r="C791" t="s">
        <v>42</v>
      </c>
      <c r="D791">
        <v>0.33333333333333331</v>
      </c>
      <c r="E791">
        <v>0.66666666666666674</v>
      </c>
      <c r="F791">
        <v>343.15</v>
      </c>
      <c r="G791">
        <v>6346.9980000000005</v>
      </c>
      <c r="H791">
        <f t="shared" si="48"/>
        <v>-1.755736633068059</v>
      </c>
      <c r="I791">
        <v>0.17277992</v>
      </c>
      <c r="J791" t="str">
        <f t="shared" si="49"/>
        <v>C[N+](C)(C)CCO.[Cl-]C(C(CO)O)O</v>
      </c>
      <c r="K791">
        <v>76</v>
      </c>
      <c r="M791">
        <f t="shared" si="50"/>
        <v>2.4051880015772862</v>
      </c>
      <c r="N791">
        <f t="shared" si="51"/>
        <v>2.928424981357423</v>
      </c>
    </row>
    <row r="792" spans="1:14" x14ac:dyDescent="0.35">
      <c r="A792">
        <v>790</v>
      </c>
      <c r="B792" t="s">
        <v>7</v>
      </c>
      <c r="C792" t="s">
        <v>61</v>
      </c>
      <c r="D792">
        <v>0.33333333333333331</v>
      </c>
      <c r="E792">
        <v>0.66666666666666674</v>
      </c>
      <c r="F792">
        <v>303.14999999999998</v>
      </c>
      <c r="G792">
        <v>298.99994250000003</v>
      </c>
      <c r="H792">
        <f t="shared" si="48"/>
        <v>-3.7257293478817917</v>
      </c>
      <c r="I792">
        <v>2.4095519999999995E-2</v>
      </c>
      <c r="J792" t="str">
        <f t="shared" si="49"/>
        <v>C[N+](C)(C)CCO.[Cl-]C(=O)(N)N</v>
      </c>
      <c r="K792">
        <v>75</v>
      </c>
      <c r="M792">
        <f t="shared" si="50"/>
        <v>-0.72967870461249518</v>
      </c>
      <c r="N792">
        <f t="shared" si="51"/>
        <v>-0.45413258005034018</v>
      </c>
    </row>
    <row r="793" spans="1:14" x14ac:dyDescent="0.35">
      <c r="A793">
        <v>791</v>
      </c>
      <c r="B793" t="s">
        <v>7</v>
      </c>
      <c r="C793" t="s">
        <v>61</v>
      </c>
      <c r="D793">
        <v>0.33333333333333331</v>
      </c>
      <c r="E793">
        <v>0.66666666666666674</v>
      </c>
      <c r="F793">
        <v>303.14999999999998</v>
      </c>
      <c r="G793">
        <v>813.00140249999993</v>
      </c>
      <c r="H793">
        <f t="shared" si="48"/>
        <v>-2.7560068052793221</v>
      </c>
      <c r="I793">
        <v>6.3545009999999999E-2</v>
      </c>
      <c r="J793" t="str">
        <f t="shared" si="49"/>
        <v>C[N+](C)(C)CCO.[Cl-]C(=O)(N)N</v>
      </c>
      <c r="K793">
        <v>75</v>
      </c>
      <c r="M793">
        <f t="shared" si="50"/>
        <v>-0.72967870461249518</v>
      </c>
      <c r="N793">
        <f t="shared" si="51"/>
        <v>-0.16665902126809526</v>
      </c>
    </row>
    <row r="794" spans="1:14" x14ac:dyDescent="0.35">
      <c r="A794">
        <v>792</v>
      </c>
      <c r="B794" t="s">
        <v>7</v>
      </c>
      <c r="C794" t="s">
        <v>61</v>
      </c>
      <c r="D794">
        <v>0.33333333333333331</v>
      </c>
      <c r="E794">
        <v>0.66666666666666674</v>
      </c>
      <c r="F794">
        <v>303.14999999999998</v>
      </c>
      <c r="G794">
        <v>1993.001955</v>
      </c>
      <c r="H794">
        <f t="shared" si="48"/>
        <v>-1.9550844293636171</v>
      </c>
      <c r="I794">
        <v>0.14155252500000001</v>
      </c>
      <c r="J794" t="str">
        <f t="shared" si="49"/>
        <v>C[N+](C)(C)CCO.[Cl-]C(=O)(N)N</v>
      </c>
      <c r="K794">
        <v>75</v>
      </c>
      <c r="M794">
        <f t="shared" si="50"/>
        <v>-0.72967870461249518</v>
      </c>
      <c r="N794">
        <f t="shared" si="51"/>
        <v>0.49329816677605998</v>
      </c>
    </row>
    <row r="795" spans="1:14" x14ac:dyDescent="0.35">
      <c r="A795">
        <v>793</v>
      </c>
      <c r="B795" t="s">
        <v>7</v>
      </c>
      <c r="C795" t="s">
        <v>61</v>
      </c>
      <c r="D795">
        <v>0.33333333333333331</v>
      </c>
      <c r="E795">
        <v>0.66666666666666674</v>
      </c>
      <c r="F795">
        <v>303.14999999999998</v>
      </c>
      <c r="G795">
        <v>2763.0010275</v>
      </c>
      <c r="H795">
        <f t="shared" si="48"/>
        <v>-1.6773415291601874</v>
      </c>
      <c r="I795">
        <v>0.18687010500000001</v>
      </c>
      <c r="J795" t="str">
        <f t="shared" si="49"/>
        <v>C[N+](C)(C)CCO.[Cl-]C(=O)(N)N</v>
      </c>
      <c r="K795">
        <v>75</v>
      </c>
      <c r="M795">
        <f t="shared" si="50"/>
        <v>-0.72967870461249518</v>
      </c>
      <c r="N795">
        <f t="shared" si="51"/>
        <v>0.9239474758861993</v>
      </c>
    </row>
    <row r="796" spans="1:14" x14ac:dyDescent="0.35">
      <c r="A796">
        <v>794</v>
      </c>
      <c r="B796" t="s">
        <v>7</v>
      </c>
      <c r="C796" t="s">
        <v>61</v>
      </c>
      <c r="D796">
        <v>0.33333333333333331</v>
      </c>
      <c r="E796">
        <v>0.66666666666666674</v>
      </c>
      <c r="F796">
        <v>303.14999999999998</v>
      </c>
      <c r="G796">
        <v>4103.9968724999999</v>
      </c>
      <c r="H796">
        <f t="shared" si="48"/>
        <v>-1.3949883445081439</v>
      </c>
      <c r="I796">
        <v>0.24783592500000001</v>
      </c>
      <c r="J796" t="str">
        <f t="shared" si="49"/>
        <v>C[N+](C)(C)CCO.[Cl-]C(=O)(N)N</v>
      </c>
      <c r="K796">
        <v>75</v>
      </c>
      <c r="M796">
        <f t="shared" si="50"/>
        <v>-0.72967870461249518</v>
      </c>
      <c r="N796">
        <f t="shared" si="51"/>
        <v>1.6739469950983701</v>
      </c>
    </row>
    <row r="797" spans="1:14" x14ac:dyDescent="0.35">
      <c r="A797">
        <v>795</v>
      </c>
      <c r="B797" t="s">
        <v>7</v>
      </c>
      <c r="C797" t="s">
        <v>61</v>
      </c>
      <c r="D797">
        <v>0.33333333333333331</v>
      </c>
      <c r="E797">
        <v>0.66666666666666674</v>
      </c>
      <c r="F797">
        <v>303.14999999999998</v>
      </c>
      <c r="G797">
        <v>5653.9957949999998</v>
      </c>
      <c r="H797">
        <f t="shared" si="48"/>
        <v>-1.1774971968502237</v>
      </c>
      <c r="I797">
        <v>0.30804876000000003</v>
      </c>
      <c r="J797" t="str">
        <f t="shared" si="49"/>
        <v>C[N+](C)(C)CCO.[Cl-]C(=O)(N)N</v>
      </c>
      <c r="K797">
        <v>75</v>
      </c>
      <c r="M797">
        <f t="shared" si="50"/>
        <v>-0.72967870461249518</v>
      </c>
      <c r="N797">
        <f t="shared" si="51"/>
        <v>2.540838903070227</v>
      </c>
    </row>
    <row r="798" spans="1:14" x14ac:dyDescent="0.35">
      <c r="A798">
        <v>796</v>
      </c>
      <c r="B798" t="s">
        <v>7</v>
      </c>
      <c r="C798" t="s">
        <v>61</v>
      </c>
      <c r="D798">
        <v>0.33333333333333331</v>
      </c>
      <c r="E798">
        <v>0.66666666666666674</v>
      </c>
      <c r="F798">
        <v>313.14999999999998</v>
      </c>
      <c r="G798">
        <v>349.99681500000003</v>
      </c>
      <c r="H798">
        <f t="shared" si="48"/>
        <v>-3.7585910123657924</v>
      </c>
      <c r="I798">
        <v>2.3316569999999995E-2</v>
      </c>
      <c r="J798" t="str">
        <f t="shared" si="49"/>
        <v>C[N+](C)(C)CCO.[Cl-]C(=O)(N)N</v>
      </c>
      <c r="K798">
        <v>75</v>
      </c>
      <c r="M798">
        <f t="shared" si="50"/>
        <v>5.4037971934950142E-2</v>
      </c>
      <c r="N798">
        <f t="shared" si="51"/>
        <v>-0.42561076918945395</v>
      </c>
    </row>
    <row r="799" spans="1:14" x14ac:dyDescent="0.35">
      <c r="A799">
        <v>797</v>
      </c>
      <c r="B799" t="s">
        <v>7</v>
      </c>
      <c r="C799" t="s">
        <v>61</v>
      </c>
      <c r="D799">
        <v>0.33333333333333331</v>
      </c>
      <c r="E799">
        <v>0.66666666666666674</v>
      </c>
      <c r="F799">
        <v>313.14999999999998</v>
      </c>
      <c r="G799">
        <v>817.99672499999997</v>
      </c>
      <c r="H799">
        <f t="shared" si="48"/>
        <v>-2.966394952148196</v>
      </c>
      <c r="I799">
        <v>5.1488594999999998E-2</v>
      </c>
      <c r="J799" t="str">
        <f t="shared" si="49"/>
        <v>C[N+](C)(C)CCO.[Cl-]C(=O)(N)N</v>
      </c>
      <c r="K799">
        <v>75</v>
      </c>
      <c r="M799">
        <f t="shared" si="50"/>
        <v>5.4037971934950142E-2</v>
      </c>
      <c r="N799">
        <f t="shared" si="51"/>
        <v>-0.16386520987242328</v>
      </c>
    </row>
    <row r="800" spans="1:14" x14ac:dyDescent="0.35">
      <c r="A800">
        <v>798</v>
      </c>
      <c r="B800" t="s">
        <v>7</v>
      </c>
      <c r="C800" t="s">
        <v>61</v>
      </c>
      <c r="D800">
        <v>0.33333333333333331</v>
      </c>
      <c r="E800">
        <v>0.66666666666666674</v>
      </c>
      <c r="F800">
        <v>313.14999999999998</v>
      </c>
      <c r="G800">
        <v>2020.9980525000001</v>
      </c>
      <c r="H800">
        <f t="shared" si="48"/>
        <v>-2.1157886882830095</v>
      </c>
      <c r="I800">
        <v>0.12053818499999999</v>
      </c>
      <c r="J800" t="str">
        <f t="shared" si="49"/>
        <v>C[N+](C)(C)CCO.[Cl-]C(=O)(N)N</v>
      </c>
      <c r="K800">
        <v>75</v>
      </c>
      <c r="M800">
        <f t="shared" si="50"/>
        <v>5.4037971934950142E-2</v>
      </c>
      <c r="N800">
        <f t="shared" si="51"/>
        <v>0.50895597790433922</v>
      </c>
    </row>
    <row r="801" spans="1:14" x14ac:dyDescent="0.35">
      <c r="A801">
        <v>799</v>
      </c>
      <c r="B801" t="s">
        <v>7</v>
      </c>
      <c r="C801" t="s">
        <v>61</v>
      </c>
      <c r="D801">
        <v>0.33333333333333331</v>
      </c>
      <c r="E801">
        <v>0.66666666666666674</v>
      </c>
      <c r="F801">
        <v>313.14999999999998</v>
      </c>
      <c r="G801">
        <v>2794.9994624999999</v>
      </c>
      <c r="H801">
        <f t="shared" si="48"/>
        <v>-1.8405881506392665</v>
      </c>
      <c r="I801">
        <v>0.15872404499999998</v>
      </c>
      <c r="J801" t="str">
        <f t="shared" si="49"/>
        <v>C[N+](C)(C)CCO.[Cl-]C(=O)(N)N</v>
      </c>
      <c r="K801">
        <v>75</v>
      </c>
      <c r="M801">
        <f t="shared" si="50"/>
        <v>5.4037971934950142E-2</v>
      </c>
      <c r="N801">
        <f t="shared" si="51"/>
        <v>0.94184373630715668</v>
      </c>
    </row>
    <row r="802" spans="1:14" x14ac:dyDescent="0.35">
      <c r="A802">
        <v>800</v>
      </c>
      <c r="B802" t="s">
        <v>7</v>
      </c>
      <c r="C802" t="s">
        <v>61</v>
      </c>
      <c r="D802">
        <v>0.33333333333333331</v>
      </c>
      <c r="E802">
        <v>0.66666666666666674</v>
      </c>
      <c r="F802">
        <v>313.14999999999998</v>
      </c>
      <c r="G802">
        <v>4143.9999824999995</v>
      </c>
      <c r="H802">
        <f t="shared" si="48"/>
        <v>-1.522774095836587</v>
      </c>
      <c r="I802">
        <v>0.21810599999999999</v>
      </c>
      <c r="J802" t="str">
        <f t="shared" si="49"/>
        <v>C[N+](C)(C)CCO.[Cl-]C(=O)(N)N</v>
      </c>
      <c r="K802">
        <v>75</v>
      </c>
      <c r="M802">
        <f t="shared" si="50"/>
        <v>5.4037971934950142E-2</v>
      </c>
      <c r="N802">
        <f t="shared" si="51"/>
        <v>1.696320154104684</v>
      </c>
    </row>
    <row r="803" spans="1:14" x14ac:dyDescent="0.35">
      <c r="A803">
        <v>801</v>
      </c>
      <c r="B803" t="s">
        <v>7</v>
      </c>
      <c r="C803" t="s">
        <v>61</v>
      </c>
      <c r="D803">
        <v>0.33333333333333331</v>
      </c>
      <c r="E803">
        <v>0.66666666666666674</v>
      </c>
      <c r="F803">
        <v>313.14999999999998</v>
      </c>
      <c r="G803">
        <v>4616.0022300000001</v>
      </c>
      <c r="H803">
        <f t="shared" si="48"/>
        <v>-1.4754589418625323</v>
      </c>
      <c r="I803">
        <v>0.22867375500000001</v>
      </c>
      <c r="J803" t="str">
        <f t="shared" si="49"/>
        <v>C[N+](C)(C)CCO.[Cl-]C(=O)(N)N</v>
      </c>
      <c r="K803">
        <v>75</v>
      </c>
      <c r="M803">
        <f t="shared" si="50"/>
        <v>5.4037971934950142E-2</v>
      </c>
      <c r="N803">
        <f t="shared" si="51"/>
        <v>1.9603041627143931</v>
      </c>
    </row>
    <row r="804" spans="1:14" x14ac:dyDescent="0.35">
      <c r="A804">
        <v>802</v>
      </c>
      <c r="B804" t="s">
        <v>7</v>
      </c>
      <c r="C804" t="s">
        <v>61</v>
      </c>
      <c r="D804">
        <v>0.33333333333333331</v>
      </c>
      <c r="E804">
        <v>0.66666666666666674</v>
      </c>
      <c r="F804">
        <v>313.14999999999998</v>
      </c>
      <c r="G804">
        <v>5721.9950024999998</v>
      </c>
      <c r="H804">
        <f t="shared" si="48"/>
        <v>-1.310771742907052</v>
      </c>
      <c r="I804">
        <v>0.26961190499999999</v>
      </c>
      <c r="J804" t="str">
        <f t="shared" si="49"/>
        <v>C[N+](C)(C)CCO.[Cl-]C(=O)(N)N</v>
      </c>
      <c r="K804">
        <v>75</v>
      </c>
      <c r="M804">
        <f t="shared" si="50"/>
        <v>5.4037971934950142E-2</v>
      </c>
      <c r="N804">
        <f t="shared" si="51"/>
        <v>2.5788698732048201</v>
      </c>
    </row>
    <row r="805" spans="1:14" x14ac:dyDescent="0.35">
      <c r="A805">
        <v>803</v>
      </c>
      <c r="B805" t="s">
        <v>7</v>
      </c>
      <c r="C805" t="s">
        <v>61</v>
      </c>
      <c r="D805">
        <v>0.33333333333333331</v>
      </c>
      <c r="E805">
        <v>0.66666666666666674</v>
      </c>
      <c r="F805">
        <v>323.14999999999998</v>
      </c>
      <c r="G805">
        <v>355.99525499999999</v>
      </c>
      <c r="H805">
        <f t="shared" si="48"/>
        <v>-3.9302788845562597</v>
      </c>
      <c r="I805">
        <v>1.9638195000000001E-2</v>
      </c>
      <c r="J805" t="str">
        <f t="shared" si="49"/>
        <v>C[N+](C)(C)CCO.[Cl-]C(=O)(N)N</v>
      </c>
      <c r="K805">
        <v>75</v>
      </c>
      <c r="M805">
        <f t="shared" si="50"/>
        <v>0.83775464848239545</v>
      </c>
      <c r="N805">
        <f t="shared" si="51"/>
        <v>-0.42225592873055373</v>
      </c>
    </row>
    <row r="806" spans="1:14" x14ac:dyDescent="0.35">
      <c r="A806">
        <v>804</v>
      </c>
      <c r="B806" t="s">
        <v>7</v>
      </c>
      <c r="C806" t="s">
        <v>61</v>
      </c>
      <c r="D806">
        <v>0.33333333333333331</v>
      </c>
      <c r="E806">
        <v>0.66666666666666674</v>
      </c>
      <c r="F806">
        <v>323.14999999999998</v>
      </c>
      <c r="G806">
        <v>824.99828249999996</v>
      </c>
      <c r="H806">
        <f t="shared" si="48"/>
        <v>-3.1237164518891989</v>
      </c>
      <c r="I806">
        <v>4.3993365E-2</v>
      </c>
      <c r="J806" t="str">
        <f t="shared" si="49"/>
        <v>C[N+](C)(C)CCO.[Cl-]C(=O)(N)N</v>
      </c>
      <c r="K806">
        <v>75</v>
      </c>
      <c r="M806">
        <f t="shared" si="50"/>
        <v>0.83775464848239545</v>
      </c>
      <c r="N806">
        <f t="shared" si="51"/>
        <v>-0.15994934035029484</v>
      </c>
    </row>
    <row r="807" spans="1:14" x14ac:dyDescent="0.35">
      <c r="A807">
        <v>805</v>
      </c>
      <c r="B807" t="s">
        <v>7</v>
      </c>
      <c r="C807" t="s">
        <v>61</v>
      </c>
      <c r="D807">
        <v>0.33333333333333331</v>
      </c>
      <c r="E807">
        <v>0.66666666666666674</v>
      </c>
      <c r="F807">
        <v>323.14999999999998</v>
      </c>
      <c r="G807">
        <v>2043.9988274999998</v>
      </c>
      <c r="H807">
        <f t="shared" si="48"/>
        <v>-2.2706456800541557</v>
      </c>
      <c r="I807">
        <v>0.10324549500000001</v>
      </c>
      <c r="J807" t="str">
        <f t="shared" si="49"/>
        <v>C[N+](C)(C)CCO.[Cl-]C(=O)(N)N</v>
      </c>
      <c r="K807">
        <v>75</v>
      </c>
      <c r="M807">
        <f t="shared" si="50"/>
        <v>0.83775464848239545</v>
      </c>
      <c r="N807">
        <f t="shared" si="51"/>
        <v>0.52181997763694621</v>
      </c>
    </row>
    <row r="808" spans="1:14" x14ac:dyDescent="0.35">
      <c r="A808">
        <v>806</v>
      </c>
      <c r="B808" t="s">
        <v>7</v>
      </c>
      <c r="C808" t="s">
        <v>61</v>
      </c>
      <c r="D808">
        <v>0.33333333333333331</v>
      </c>
      <c r="E808">
        <v>0.66666666666666674</v>
      </c>
      <c r="F808">
        <v>323.14999999999998</v>
      </c>
      <c r="G808">
        <v>2838.0017925000002</v>
      </c>
      <c r="H808">
        <f t="shared" si="48"/>
        <v>-1.9946206921445877</v>
      </c>
      <c r="I808">
        <v>0.136065255</v>
      </c>
      <c r="J808" t="str">
        <f t="shared" si="49"/>
        <v>C[N+](C)(C)CCO.[Cl-]C(=O)(N)N</v>
      </c>
      <c r="K808">
        <v>75</v>
      </c>
      <c r="M808">
        <f t="shared" si="50"/>
        <v>0.83775464848239545</v>
      </c>
      <c r="N808">
        <f t="shared" si="51"/>
        <v>0.96589431554292104</v>
      </c>
    </row>
    <row r="809" spans="1:14" x14ac:dyDescent="0.35">
      <c r="A809">
        <v>807</v>
      </c>
      <c r="B809" t="s">
        <v>7</v>
      </c>
      <c r="C809" t="s">
        <v>61</v>
      </c>
      <c r="D809">
        <v>0.33333333333333331</v>
      </c>
      <c r="E809">
        <v>0.66666666666666674</v>
      </c>
      <c r="F809">
        <v>323.14999999999998</v>
      </c>
      <c r="G809">
        <v>4180.000755</v>
      </c>
      <c r="H809">
        <f t="shared" si="48"/>
        <v>-1.6746126359054656</v>
      </c>
      <c r="I809">
        <v>0.18738075000000001</v>
      </c>
      <c r="J809" t="str">
        <f t="shared" si="49"/>
        <v>C[N+](C)(C)CCO.[Cl-]C(=O)(N)N</v>
      </c>
      <c r="K809">
        <v>75</v>
      </c>
      <c r="M809">
        <f t="shared" si="50"/>
        <v>0.83775464848239545</v>
      </c>
      <c r="N809">
        <f t="shared" si="51"/>
        <v>1.7164548638183199</v>
      </c>
    </row>
    <row r="810" spans="1:14" x14ac:dyDescent="0.35">
      <c r="A810">
        <v>808</v>
      </c>
      <c r="B810" t="s">
        <v>7</v>
      </c>
      <c r="C810" t="s">
        <v>61</v>
      </c>
      <c r="D810">
        <v>0.33333333333333331</v>
      </c>
      <c r="E810">
        <v>0.66666666666666674</v>
      </c>
      <c r="F810">
        <v>323.14999999999998</v>
      </c>
      <c r="G810">
        <v>4708.9983149999998</v>
      </c>
      <c r="H810">
        <f t="shared" si="48"/>
        <v>-1.5822461083528794</v>
      </c>
      <c r="I810">
        <v>0.20551297499999999</v>
      </c>
      <c r="J810" t="str">
        <f t="shared" si="49"/>
        <v>C[N+](C)(C)CCO.[Cl-]C(=O)(N)N</v>
      </c>
      <c r="K810">
        <v>75</v>
      </c>
      <c r="M810">
        <f t="shared" si="50"/>
        <v>0.83775464848239545</v>
      </c>
      <c r="N810">
        <f t="shared" si="51"/>
        <v>2.0123155237478154</v>
      </c>
    </row>
    <row r="811" spans="1:14" x14ac:dyDescent="0.35">
      <c r="A811">
        <v>809</v>
      </c>
      <c r="B811" t="s">
        <v>7</v>
      </c>
      <c r="C811" t="s">
        <v>61</v>
      </c>
      <c r="D811">
        <v>0.33333333333333331</v>
      </c>
      <c r="E811">
        <v>0.66666666666666674</v>
      </c>
      <c r="F811">
        <v>323.14999999999998</v>
      </c>
      <c r="G811">
        <v>5781.9996675000002</v>
      </c>
      <c r="H811">
        <f t="shared" si="48"/>
        <v>-1.4220672488601078</v>
      </c>
      <c r="I811">
        <v>0.24121484999999998</v>
      </c>
      <c r="J811" t="str">
        <f t="shared" si="49"/>
        <v>C[N+](C)(C)CCO.[Cl-]C(=O)(N)N</v>
      </c>
      <c r="K811">
        <v>75</v>
      </c>
      <c r="M811">
        <f t="shared" si="50"/>
        <v>0.83775464848239545</v>
      </c>
      <c r="N811">
        <f t="shared" si="51"/>
        <v>2.6124296117142918</v>
      </c>
    </row>
    <row r="812" spans="1:14" x14ac:dyDescent="0.35">
      <c r="A812">
        <v>810</v>
      </c>
      <c r="B812" t="s">
        <v>7</v>
      </c>
      <c r="C812" t="s">
        <v>61</v>
      </c>
      <c r="D812">
        <v>0.33333333333333331</v>
      </c>
      <c r="E812">
        <v>0.66666666666666674</v>
      </c>
      <c r="F812">
        <v>333.15</v>
      </c>
      <c r="G812">
        <v>362.0038275</v>
      </c>
      <c r="H812">
        <f t="shared" si="48"/>
        <v>-4.095731623747322</v>
      </c>
      <c r="I812">
        <v>1.6643564999999999E-2</v>
      </c>
      <c r="J812" t="str">
        <f t="shared" si="49"/>
        <v>C[N+](C)(C)CCO.[Cl-]C(=O)(N)N</v>
      </c>
      <c r="K812">
        <v>75</v>
      </c>
      <c r="M812">
        <f t="shared" si="50"/>
        <v>1.6214713250298407</v>
      </c>
      <c r="N812">
        <f t="shared" si="51"/>
        <v>-0.41889542131141894</v>
      </c>
    </row>
    <row r="813" spans="1:14" x14ac:dyDescent="0.35">
      <c r="A813">
        <v>811</v>
      </c>
      <c r="B813" t="s">
        <v>7</v>
      </c>
      <c r="C813" t="s">
        <v>61</v>
      </c>
      <c r="D813">
        <v>0.33333333333333331</v>
      </c>
      <c r="E813">
        <v>0.66666666666666674</v>
      </c>
      <c r="F813">
        <v>333.15</v>
      </c>
      <c r="G813">
        <v>831.99984000000006</v>
      </c>
      <c r="H813">
        <f t="shared" si="48"/>
        <v>-3.2746262744727872</v>
      </c>
      <c r="I813">
        <v>3.7831005000000001E-2</v>
      </c>
      <c r="J813" t="str">
        <f t="shared" si="49"/>
        <v>C[N+](C)(C)CCO.[Cl-]C(=O)(N)N</v>
      </c>
      <c r="K813">
        <v>75</v>
      </c>
      <c r="M813">
        <f t="shared" si="50"/>
        <v>1.6214713250298407</v>
      </c>
      <c r="N813">
        <f t="shared" si="51"/>
        <v>-0.15603347082816635</v>
      </c>
    </row>
    <row r="814" spans="1:14" x14ac:dyDescent="0.35">
      <c r="A814">
        <v>812</v>
      </c>
      <c r="B814" t="s">
        <v>7</v>
      </c>
      <c r="C814" t="s">
        <v>61</v>
      </c>
      <c r="D814">
        <v>0.33333333333333331</v>
      </c>
      <c r="E814">
        <v>0.66666666666666674</v>
      </c>
      <c r="F814">
        <v>333.15</v>
      </c>
      <c r="G814">
        <v>2061.0011625000002</v>
      </c>
      <c r="H814">
        <f t="shared" si="48"/>
        <v>-2.4561746552772021</v>
      </c>
      <c r="I814">
        <v>8.5762394999999991E-2</v>
      </c>
      <c r="J814" t="str">
        <f t="shared" si="49"/>
        <v>C[N+](C)(C)CCO.[Cl-]C(=O)(N)N</v>
      </c>
      <c r="K814">
        <v>75</v>
      </c>
      <c r="M814">
        <f t="shared" si="50"/>
        <v>1.6214713250298407</v>
      </c>
      <c r="N814">
        <f t="shared" si="51"/>
        <v>0.53132913691065342</v>
      </c>
    </row>
    <row r="815" spans="1:14" x14ac:dyDescent="0.35">
      <c r="A815">
        <v>813</v>
      </c>
      <c r="B815" t="s">
        <v>7</v>
      </c>
      <c r="C815" t="s">
        <v>61</v>
      </c>
      <c r="D815">
        <v>0.33333333333333331</v>
      </c>
      <c r="E815">
        <v>0.66666666666666674</v>
      </c>
      <c r="F815">
        <v>333.15</v>
      </c>
      <c r="G815">
        <v>2874.0025650000002</v>
      </c>
      <c r="H815">
        <f t="shared" si="48"/>
        <v>-2.1487077648096582</v>
      </c>
      <c r="I815">
        <v>0.11663477999999999</v>
      </c>
      <c r="J815" t="str">
        <f t="shared" si="49"/>
        <v>C[N+](C)(C)CCO.[Cl-]C(=O)(N)N</v>
      </c>
      <c r="K815">
        <v>75</v>
      </c>
      <c r="M815">
        <f t="shared" si="50"/>
        <v>1.6214713250298407</v>
      </c>
      <c r="N815">
        <f t="shared" si="51"/>
        <v>0.98602902525655689</v>
      </c>
    </row>
    <row r="816" spans="1:14" x14ac:dyDescent="0.35">
      <c r="A816">
        <v>814</v>
      </c>
      <c r="B816" t="s">
        <v>7</v>
      </c>
      <c r="C816" t="s">
        <v>61</v>
      </c>
      <c r="D816">
        <v>0.33333333333333331</v>
      </c>
      <c r="E816">
        <v>0.66666666666666674</v>
      </c>
      <c r="F816">
        <v>333.15</v>
      </c>
      <c r="G816">
        <v>4250.9991825000006</v>
      </c>
      <c r="H816">
        <f t="shared" si="48"/>
        <v>-1.8175713684861066</v>
      </c>
      <c r="I816">
        <v>0.16241972999999998</v>
      </c>
      <c r="J816" t="str">
        <f t="shared" si="49"/>
        <v>C[N+](C)(C)CCO.[Cl-]C(=O)(N)N</v>
      </c>
      <c r="K816">
        <v>75</v>
      </c>
      <c r="M816">
        <f t="shared" si="50"/>
        <v>1.6214713250298407</v>
      </c>
      <c r="N816">
        <f t="shared" si="51"/>
        <v>1.7561632541823637</v>
      </c>
    </row>
    <row r="817" spans="1:14" x14ac:dyDescent="0.35">
      <c r="A817">
        <v>815</v>
      </c>
      <c r="B817" t="s">
        <v>7</v>
      </c>
      <c r="C817" t="s">
        <v>61</v>
      </c>
      <c r="D817">
        <v>0.33333333333333331</v>
      </c>
      <c r="E817">
        <v>0.66666666666666674</v>
      </c>
      <c r="F817">
        <v>333.15</v>
      </c>
      <c r="G817">
        <v>4918.0013925000003</v>
      </c>
      <c r="H817">
        <f t="shared" si="48"/>
        <v>-1.7057148919386804</v>
      </c>
      <c r="I817">
        <v>0.18164248499999999</v>
      </c>
      <c r="J817" t="str">
        <f t="shared" si="49"/>
        <v>C[N+](C)(C)CCO.[Cl-]C(=O)(N)N</v>
      </c>
      <c r="K817">
        <v>75</v>
      </c>
      <c r="M817">
        <f t="shared" si="50"/>
        <v>1.6214713250298407</v>
      </c>
      <c r="N817">
        <f t="shared" si="51"/>
        <v>2.1292079125075021</v>
      </c>
    </row>
    <row r="818" spans="1:14" x14ac:dyDescent="0.35">
      <c r="A818">
        <v>816</v>
      </c>
      <c r="B818" t="s">
        <v>7</v>
      </c>
      <c r="C818" t="s">
        <v>61</v>
      </c>
      <c r="D818">
        <v>0.33333333333333331</v>
      </c>
      <c r="E818">
        <v>0.66666666666666674</v>
      </c>
      <c r="F818">
        <v>333.15</v>
      </c>
      <c r="G818">
        <v>5845.0035524999994</v>
      </c>
      <c r="H818">
        <f t="shared" si="48"/>
        <v>-1.5738585565593919</v>
      </c>
      <c r="I818">
        <v>0.20724397499999997</v>
      </c>
      <c r="J818" t="str">
        <f t="shared" si="49"/>
        <v>C[N+](C)(C)CCO.[Cl-]C(=O)(N)N</v>
      </c>
      <c r="K818">
        <v>75</v>
      </c>
      <c r="M818">
        <f t="shared" si="50"/>
        <v>1.6214713250298407</v>
      </c>
      <c r="N818">
        <f t="shared" si="51"/>
        <v>2.6476667704532124</v>
      </c>
    </row>
    <row r="819" spans="1:14" x14ac:dyDescent="0.35">
      <c r="A819">
        <v>817</v>
      </c>
      <c r="B819" t="s">
        <v>7</v>
      </c>
      <c r="C819" t="s">
        <v>61</v>
      </c>
      <c r="D819">
        <v>0.33333333333333331</v>
      </c>
      <c r="E819">
        <v>0.66666666666666674</v>
      </c>
      <c r="F819">
        <v>343.15</v>
      </c>
      <c r="G819">
        <v>371.0014875</v>
      </c>
      <c r="H819">
        <f t="shared" si="48"/>
        <v>-4.3036510389364704</v>
      </c>
      <c r="I819">
        <v>1.3519109999999999E-2</v>
      </c>
      <c r="J819" t="str">
        <f t="shared" si="49"/>
        <v>C[N+](C)(C)CCO.[Cl-]C(=O)(N)N</v>
      </c>
      <c r="K819">
        <v>75</v>
      </c>
      <c r="M819">
        <f t="shared" si="50"/>
        <v>2.4051880015772862</v>
      </c>
      <c r="N819">
        <f t="shared" si="51"/>
        <v>-0.41386316062306866</v>
      </c>
    </row>
    <row r="820" spans="1:14" x14ac:dyDescent="0.35">
      <c r="A820">
        <v>818</v>
      </c>
      <c r="B820" t="s">
        <v>7</v>
      </c>
      <c r="C820" t="s">
        <v>61</v>
      </c>
      <c r="D820">
        <v>0.33333333333333331</v>
      </c>
      <c r="E820">
        <v>0.66666666666666674</v>
      </c>
      <c r="F820">
        <v>343.15</v>
      </c>
      <c r="G820">
        <v>840.00451499999997</v>
      </c>
      <c r="H820">
        <f t="shared" si="48"/>
        <v>-3.5025857965675815</v>
      </c>
      <c r="I820">
        <v>3.0119399999999994E-2</v>
      </c>
      <c r="J820" t="str">
        <f t="shared" si="49"/>
        <v>C[N+](C)(C)CCO.[Cl-]C(=O)(N)N</v>
      </c>
      <c r="K820">
        <v>75</v>
      </c>
      <c r="M820">
        <f t="shared" si="50"/>
        <v>2.4051880015772862</v>
      </c>
      <c r="N820">
        <f t="shared" si="51"/>
        <v>-0.15155657224280975</v>
      </c>
    </row>
    <row r="821" spans="1:14" x14ac:dyDescent="0.35">
      <c r="A821">
        <v>819</v>
      </c>
      <c r="B821" t="s">
        <v>7</v>
      </c>
      <c r="C821" t="s">
        <v>61</v>
      </c>
      <c r="D821">
        <v>0.33333333333333331</v>
      </c>
      <c r="E821">
        <v>0.66666666666666674</v>
      </c>
      <c r="F821">
        <v>343.15</v>
      </c>
      <c r="G821">
        <v>2078.0034975000003</v>
      </c>
      <c r="H821">
        <f t="shared" si="48"/>
        <v>-2.6411033011884215</v>
      </c>
      <c r="I821">
        <v>7.1282579999999998E-2</v>
      </c>
      <c r="J821" t="str">
        <f t="shared" si="49"/>
        <v>C[N+](C)(C)CCO.[Cl-]C(=O)(N)N</v>
      </c>
      <c r="K821">
        <v>75</v>
      </c>
      <c r="M821">
        <f t="shared" si="50"/>
        <v>2.4051880015772862</v>
      </c>
      <c r="N821">
        <f t="shared" si="51"/>
        <v>0.54083829618436041</v>
      </c>
    </row>
    <row r="822" spans="1:14" x14ac:dyDescent="0.35">
      <c r="A822">
        <v>820</v>
      </c>
      <c r="B822" t="s">
        <v>7</v>
      </c>
      <c r="C822" t="s">
        <v>61</v>
      </c>
      <c r="D822">
        <v>0.33333333333333331</v>
      </c>
      <c r="E822">
        <v>0.66666666666666674</v>
      </c>
      <c r="F822">
        <v>343.15</v>
      </c>
      <c r="G822">
        <v>2907.9971025</v>
      </c>
      <c r="H822">
        <f t="shared" si="48"/>
        <v>-2.3550009119134252</v>
      </c>
      <c r="I822">
        <v>9.4893420000000006E-2</v>
      </c>
      <c r="J822" t="str">
        <f t="shared" si="49"/>
        <v>C[N+](C)(C)CCO.[Cl-]C(=O)(N)N</v>
      </c>
      <c r="K822">
        <v>75</v>
      </c>
      <c r="M822">
        <f t="shared" si="50"/>
        <v>2.4051880015772862</v>
      </c>
      <c r="N822">
        <f t="shared" si="51"/>
        <v>1.005041676843736</v>
      </c>
    </row>
    <row r="823" spans="1:14" x14ac:dyDescent="0.35">
      <c r="A823">
        <v>821</v>
      </c>
      <c r="B823" t="s">
        <v>7</v>
      </c>
      <c r="C823" t="s">
        <v>61</v>
      </c>
      <c r="D823">
        <v>0.33333333333333331</v>
      </c>
      <c r="E823">
        <v>0.66666666666666674</v>
      </c>
      <c r="F823">
        <v>343.15</v>
      </c>
      <c r="G823">
        <v>4302.9991725</v>
      </c>
      <c r="H823">
        <f t="shared" si="48"/>
        <v>-2.0184374718629003</v>
      </c>
      <c r="I823">
        <v>0.13286290499999998</v>
      </c>
      <c r="J823" t="str">
        <f t="shared" si="49"/>
        <v>C[N+](C)(C)CCO.[Cl-]C(=O)(N)N</v>
      </c>
      <c r="K823">
        <v>75</v>
      </c>
      <c r="M823">
        <f t="shared" si="50"/>
        <v>2.4051880015772862</v>
      </c>
      <c r="N823">
        <f t="shared" si="51"/>
        <v>1.7852460941064778</v>
      </c>
    </row>
    <row r="824" spans="1:14" x14ac:dyDescent="0.35">
      <c r="A824">
        <v>822</v>
      </c>
      <c r="B824" t="s">
        <v>7</v>
      </c>
      <c r="C824" t="s">
        <v>61</v>
      </c>
      <c r="D824">
        <v>0.33333333333333331</v>
      </c>
      <c r="E824">
        <v>0.66666666666666674</v>
      </c>
      <c r="F824">
        <v>343.15</v>
      </c>
      <c r="G824">
        <v>5182.0036799999998</v>
      </c>
      <c r="H824">
        <f t="shared" si="48"/>
        <v>-1.8564724055750745</v>
      </c>
      <c r="I824">
        <v>0.15622274999999999</v>
      </c>
      <c r="J824" t="str">
        <f t="shared" si="49"/>
        <v>C[N+](C)(C)CCO.[Cl-]C(=O)(N)N</v>
      </c>
      <c r="K824">
        <v>75</v>
      </c>
      <c r="M824">
        <f t="shared" si="50"/>
        <v>2.4051880015772862</v>
      </c>
      <c r="N824">
        <f t="shared" si="51"/>
        <v>2.2768605614207527</v>
      </c>
    </row>
    <row r="825" spans="1:14" x14ac:dyDescent="0.35">
      <c r="A825">
        <v>823</v>
      </c>
      <c r="B825" t="s">
        <v>7</v>
      </c>
      <c r="C825" t="s">
        <v>61</v>
      </c>
      <c r="D825">
        <v>0.33333333333333331</v>
      </c>
      <c r="E825">
        <v>0.66666666666666674</v>
      </c>
      <c r="F825">
        <v>343.15</v>
      </c>
      <c r="G825">
        <v>5910.9965249999996</v>
      </c>
      <c r="H825">
        <f t="shared" si="48"/>
        <v>-1.760910431736938</v>
      </c>
      <c r="I825">
        <v>0.17188829999999999</v>
      </c>
      <c r="J825" t="str">
        <f t="shared" si="49"/>
        <v>C[N+](C)(C)CCO.[Cl-]C(=O)(N)N</v>
      </c>
      <c r="K825">
        <v>75</v>
      </c>
      <c r="M825">
        <f t="shared" si="50"/>
        <v>2.4051880015772862</v>
      </c>
      <c r="N825">
        <f t="shared" si="51"/>
        <v>2.6845756824613494</v>
      </c>
    </row>
    <row r="826" spans="1:14" x14ac:dyDescent="0.35">
      <c r="A826">
        <v>824</v>
      </c>
      <c r="B826" t="s">
        <v>7</v>
      </c>
      <c r="C826" t="s">
        <v>61</v>
      </c>
      <c r="D826">
        <v>0.2857142857142857</v>
      </c>
      <c r="E826">
        <v>0.7142857142857143</v>
      </c>
      <c r="F826">
        <v>313.14999999999998</v>
      </c>
      <c r="G826">
        <v>1150</v>
      </c>
      <c r="H826">
        <f t="shared" si="48"/>
        <v>-3.08</v>
      </c>
      <c r="I826">
        <v>4.5959256649044204E-2</v>
      </c>
      <c r="J826" t="str">
        <f t="shared" si="49"/>
        <v>C[N+](C)(C)CCO.[Cl-]C(=O)(N)N</v>
      </c>
      <c r="K826">
        <v>75</v>
      </c>
      <c r="M826">
        <f t="shared" si="50"/>
        <v>5.4037971934950142E-2</v>
      </c>
      <c r="N826">
        <f t="shared" si="51"/>
        <v>2.1819404703594388E-2</v>
      </c>
    </row>
    <row r="827" spans="1:14" x14ac:dyDescent="0.35">
      <c r="A827">
        <v>825</v>
      </c>
      <c r="B827" t="s">
        <v>7</v>
      </c>
      <c r="C827" t="s">
        <v>61</v>
      </c>
      <c r="D827">
        <v>0.2857142857142857</v>
      </c>
      <c r="E827">
        <v>0.7142857142857143</v>
      </c>
      <c r="F827">
        <v>313.14999999999998</v>
      </c>
      <c r="G827">
        <v>2670</v>
      </c>
      <c r="H827">
        <f t="shared" si="48"/>
        <v>-2.4300000000000002</v>
      </c>
      <c r="I827">
        <v>8.8036832582372548E-2</v>
      </c>
      <c r="J827" t="str">
        <f t="shared" si="49"/>
        <v>C[N+](C)(C)CCO.[Cl-]C(=O)(N)N</v>
      </c>
      <c r="K827">
        <v>75</v>
      </c>
      <c r="M827">
        <f t="shared" si="50"/>
        <v>5.4037971934950142E-2</v>
      </c>
      <c r="N827">
        <f t="shared" si="51"/>
        <v>0.87193335058423915</v>
      </c>
    </row>
    <row r="828" spans="1:14" x14ac:dyDescent="0.35">
      <c r="A828">
        <v>826</v>
      </c>
      <c r="B828" t="s">
        <v>7</v>
      </c>
      <c r="C828" t="s">
        <v>61</v>
      </c>
      <c r="D828">
        <v>0.2857142857142857</v>
      </c>
      <c r="E828">
        <v>0.7142857142857143</v>
      </c>
      <c r="F828">
        <v>313.14999999999998</v>
      </c>
      <c r="G828">
        <v>4530</v>
      </c>
      <c r="H828">
        <f t="shared" si="48"/>
        <v>-2.08</v>
      </c>
      <c r="I828">
        <v>0.12493021219858241</v>
      </c>
      <c r="J828" t="str">
        <f t="shared" si="49"/>
        <v>C[N+](C)(C)CCO.[Cl-]C(=O)(N)N</v>
      </c>
      <c r="K828">
        <v>75</v>
      </c>
      <c r="M828">
        <f t="shared" si="50"/>
        <v>5.4037971934950142E-2</v>
      </c>
      <c r="N828">
        <f t="shared" si="51"/>
        <v>1.9122043633066073</v>
      </c>
    </row>
    <row r="829" spans="1:14" x14ac:dyDescent="0.35">
      <c r="A829">
        <v>827</v>
      </c>
      <c r="B829" t="s">
        <v>7</v>
      </c>
      <c r="C829" t="s">
        <v>61</v>
      </c>
      <c r="D829">
        <v>0.2857142857142857</v>
      </c>
      <c r="E829">
        <v>0.7142857142857143</v>
      </c>
      <c r="F829">
        <v>313.14999999999998</v>
      </c>
      <c r="G829">
        <v>6670</v>
      </c>
      <c r="H829">
        <f t="shared" si="48"/>
        <v>-1.86</v>
      </c>
      <c r="I829">
        <v>0.15567263036799731</v>
      </c>
      <c r="J829" t="str">
        <f t="shared" si="49"/>
        <v>C[N+](C)(C)CCO.[Cl-]C(=O)(N)N</v>
      </c>
      <c r="K829">
        <v>75</v>
      </c>
      <c r="M829">
        <f t="shared" si="50"/>
        <v>5.4037971934950142E-2</v>
      </c>
      <c r="N829">
        <f t="shared" si="51"/>
        <v>3.1090753134280411</v>
      </c>
    </row>
    <row r="830" spans="1:14" x14ac:dyDescent="0.35">
      <c r="A830">
        <v>828</v>
      </c>
      <c r="B830" t="s">
        <v>7</v>
      </c>
      <c r="C830" t="s">
        <v>61</v>
      </c>
      <c r="D830">
        <v>0.2857142857142857</v>
      </c>
      <c r="E830">
        <v>0.7142857142857143</v>
      </c>
      <c r="F830">
        <v>313.14999999999998</v>
      </c>
      <c r="G830">
        <v>8610.0006825</v>
      </c>
      <c r="H830">
        <f t="shared" si="48"/>
        <v>-1.7372712839439852</v>
      </c>
      <c r="I830">
        <v>0.17599999999999999</v>
      </c>
      <c r="J830" t="str">
        <f t="shared" si="49"/>
        <v>C[N+](C)(C)CCO.[Cl-]C(=O)(N)N</v>
      </c>
      <c r="K830">
        <v>75</v>
      </c>
      <c r="M830">
        <f t="shared" si="50"/>
        <v>5.4037971934950142E-2</v>
      </c>
      <c r="N830">
        <f t="shared" si="51"/>
        <v>4.1940895471196331</v>
      </c>
    </row>
    <row r="831" spans="1:14" x14ac:dyDescent="0.35">
      <c r="A831">
        <v>829</v>
      </c>
      <c r="B831" t="s">
        <v>7</v>
      </c>
      <c r="C831" t="s">
        <v>61</v>
      </c>
      <c r="D831">
        <v>0.2857142857142857</v>
      </c>
      <c r="E831">
        <v>0.7142857142857143</v>
      </c>
      <c r="F831">
        <v>313.14999999999998</v>
      </c>
      <c r="G831">
        <v>10570.001085</v>
      </c>
      <c r="H831">
        <f t="shared" si="48"/>
        <v>-1.6713133161521878</v>
      </c>
      <c r="I831">
        <v>0.188</v>
      </c>
      <c r="J831" t="str">
        <f t="shared" si="49"/>
        <v>C[N+](C)(C)CCO.[Cl-]C(=O)(N)N</v>
      </c>
      <c r="K831">
        <v>75</v>
      </c>
      <c r="M831">
        <f t="shared" si="50"/>
        <v>5.4037971934950142E-2</v>
      </c>
      <c r="N831">
        <f t="shared" si="51"/>
        <v>5.2902893340255055</v>
      </c>
    </row>
    <row r="832" spans="1:14" x14ac:dyDescent="0.35">
      <c r="A832">
        <v>830</v>
      </c>
      <c r="B832" t="s">
        <v>7</v>
      </c>
      <c r="C832" t="s">
        <v>61</v>
      </c>
      <c r="D832">
        <v>0.2857142857142857</v>
      </c>
      <c r="E832">
        <v>0.7142857142857143</v>
      </c>
      <c r="F832">
        <v>313.14999999999998</v>
      </c>
      <c r="G832">
        <v>12449.9952675</v>
      </c>
      <c r="H832">
        <f t="shared" si="48"/>
        <v>-1.5945492999403497</v>
      </c>
      <c r="I832">
        <v>0.20300000000000001</v>
      </c>
      <c r="J832" t="str">
        <f t="shared" si="49"/>
        <v>C[N+](C)(C)CCO.[Cl-]C(=O)(N)N</v>
      </c>
      <c r="K832">
        <v>75</v>
      </c>
      <c r="M832">
        <f t="shared" si="50"/>
        <v>5.4037971934950142E-2</v>
      </c>
      <c r="N832">
        <f t="shared" si="51"/>
        <v>6.341742802918751</v>
      </c>
    </row>
    <row r="833" spans="1:14" x14ac:dyDescent="0.35">
      <c r="A833">
        <v>831</v>
      </c>
      <c r="B833" t="s">
        <v>7</v>
      </c>
      <c r="C833" t="s">
        <v>61</v>
      </c>
      <c r="D833">
        <v>0.2857142857142857</v>
      </c>
      <c r="E833">
        <v>0.7142857142857143</v>
      </c>
      <c r="F833">
        <v>323.14999999999998</v>
      </c>
      <c r="G833">
        <v>1060</v>
      </c>
      <c r="H833">
        <f t="shared" si="48"/>
        <v>-3.24</v>
      </c>
      <c r="I833">
        <v>3.9163895098987066E-2</v>
      </c>
      <c r="J833" t="str">
        <f t="shared" si="49"/>
        <v>C[N+](C)(C)CCO.[Cl-]C(=O)(N)N</v>
      </c>
      <c r="K833">
        <v>75</v>
      </c>
      <c r="M833">
        <f t="shared" si="50"/>
        <v>0.83775464848239545</v>
      </c>
      <c r="N833">
        <f t="shared" si="51"/>
        <v>-2.8516289460391159E-2</v>
      </c>
    </row>
    <row r="834" spans="1:14" x14ac:dyDescent="0.35">
      <c r="A834">
        <v>832</v>
      </c>
      <c r="B834" t="s">
        <v>7</v>
      </c>
      <c r="C834" t="s">
        <v>61</v>
      </c>
      <c r="D834">
        <v>0.2857142857142857</v>
      </c>
      <c r="E834">
        <v>0.7142857142857143</v>
      </c>
      <c r="F834">
        <v>323.14999999999998</v>
      </c>
      <c r="G834">
        <v>2500</v>
      </c>
      <c r="H834">
        <f t="shared" si="48"/>
        <v>-2.5499999999999998</v>
      </c>
      <c r="I834">
        <v>7.8081666001153169E-2</v>
      </c>
      <c r="J834" t="str">
        <f t="shared" si="49"/>
        <v>C[N+](C)(C)CCO.[Cl-]C(=O)(N)N</v>
      </c>
      <c r="K834">
        <v>75</v>
      </c>
      <c r="M834">
        <f t="shared" si="50"/>
        <v>0.83775464848239545</v>
      </c>
      <c r="N834">
        <f t="shared" si="51"/>
        <v>0.77685481716337756</v>
      </c>
    </row>
    <row r="835" spans="1:14" x14ac:dyDescent="0.35">
      <c r="A835">
        <v>833</v>
      </c>
      <c r="B835" t="s">
        <v>7</v>
      </c>
      <c r="C835" t="s">
        <v>61</v>
      </c>
      <c r="D835">
        <v>0.2857142857142857</v>
      </c>
      <c r="E835">
        <v>0.7142857142857143</v>
      </c>
      <c r="F835">
        <v>323.14999999999998</v>
      </c>
      <c r="G835">
        <v>4120</v>
      </c>
      <c r="H835">
        <f t="shared" ref="H835:H898" si="52">LN(I835)</f>
        <v>-2.23</v>
      </c>
      <c r="I835">
        <v>0.10752843013579495</v>
      </c>
      <c r="J835" t="str">
        <f t="shared" ref="J835:J898" si="53">_xlfn.CONCAT(B835,C835)</f>
        <v>C[N+](C)(C)CCO.[Cl-]C(=O)(N)N</v>
      </c>
      <c r="K835">
        <v>75</v>
      </c>
      <c r="M835">
        <f t="shared" ref="M835:M898" si="54">(F835-$L$3)/$L$2</f>
        <v>0.83775464848239545</v>
      </c>
      <c r="N835">
        <f t="shared" ref="N835:N898" si="55">(G835-$L$6)/$L$5</f>
        <v>1.6828973121151174</v>
      </c>
    </row>
    <row r="836" spans="1:14" x14ac:dyDescent="0.35">
      <c r="A836">
        <v>834</v>
      </c>
      <c r="B836" t="s">
        <v>7</v>
      </c>
      <c r="C836" t="s">
        <v>61</v>
      </c>
      <c r="D836">
        <v>0.2857142857142857</v>
      </c>
      <c r="E836">
        <v>0.7142857142857143</v>
      </c>
      <c r="F836">
        <v>323.14999999999998</v>
      </c>
      <c r="G836">
        <v>6200</v>
      </c>
      <c r="H836">
        <f t="shared" si="52"/>
        <v>-2.0099999999999998</v>
      </c>
      <c r="I836">
        <v>0.13398867466880499</v>
      </c>
      <c r="J836" t="str">
        <f t="shared" si="53"/>
        <v>C[N+](C)(C)CCO.[Cl-]C(=O)(N)N</v>
      </c>
      <c r="K836">
        <v>75</v>
      </c>
      <c r="M836">
        <f t="shared" si="54"/>
        <v>0.83775464848239545</v>
      </c>
      <c r="N836">
        <f t="shared" si="55"/>
        <v>2.8462111327938944</v>
      </c>
    </row>
    <row r="837" spans="1:14" x14ac:dyDescent="0.35">
      <c r="A837">
        <v>835</v>
      </c>
      <c r="B837" t="s">
        <v>7</v>
      </c>
      <c r="C837" t="s">
        <v>61</v>
      </c>
      <c r="D837">
        <v>0.2857142857142857</v>
      </c>
      <c r="E837">
        <v>0.7142857142857143</v>
      </c>
      <c r="F837">
        <v>323.14999999999998</v>
      </c>
      <c r="G837">
        <v>7129.9970700000003</v>
      </c>
      <c r="H837">
        <f t="shared" si="52"/>
        <v>-1.9173226922034008</v>
      </c>
      <c r="I837">
        <v>0.14699999999999999</v>
      </c>
      <c r="J837" t="str">
        <f t="shared" si="53"/>
        <v>C[N+](C)(C)CCO.[Cl-]C(=O)(N)N</v>
      </c>
      <c r="K837">
        <v>75</v>
      </c>
      <c r="M837">
        <f t="shared" si="54"/>
        <v>0.83775464848239545</v>
      </c>
      <c r="N837">
        <f t="shared" si="55"/>
        <v>3.3663450004485909</v>
      </c>
    </row>
    <row r="838" spans="1:14" x14ac:dyDescent="0.35">
      <c r="A838">
        <v>836</v>
      </c>
      <c r="B838" t="s">
        <v>7</v>
      </c>
      <c r="C838" t="s">
        <v>61</v>
      </c>
      <c r="D838">
        <v>0.2857142857142857</v>
      </c>
      <c r="E838">
        <v>0.7142857142857143</v>
      </c>
      <c r="F838">
        <v>323.14999999999998</v>
      </c>
      <c r="G838">
        <v>8250.0030900000002</v>
      </c>
      <c r="H838">
        <f t="shared" si="52"/>
        <v>-1.8578992717325999</v>
      </c>
      <c r="I838">
        <v>0.156</v>
      </c>
      <c r="J838" t="str">
        <f t="shared" si="53"/>
        <v>C[N+](C)(C)CCO.[Cl-]C(=O)(N)N</v>
      </c>
      <c r="K838">
        <v>75</v>
      </c>
      <c r="M838">
        <f t="shared" si="54"/>
        <v>0.83775464848239545</v>
      </c>
      <c r="N838">
        <f t="shared" si="55"/>
        <v>3.9927481169435093</v>
      </c>
    </row>
    <row r="839" spans="1:14" x14ac:dyDescent="0.35">
      <c r="A839">
        <v>837</v>
      </c>
      <c r="B839" t="s">
        <v>7</v>
      </c>
      <c r="C839" t="s">
        <v>61</v>
      </c>
      <c r="D839">
        <v>0.2857142857142857</v>
      </c>
      <c r="E839">
        <v>0.7142857142857143</v>
      </c>
      <c r="F839">
        <v>323.14999999999998</v>
      </c>
      <c r="G839">
        <v>10529.997975</v>
      </c>
      <c r="H839">
        <f t="shared" si="52"/>
        <v>-1.7719568419318752</v>
      </c>
      <c r="I839">
        <v>0.17</v>
      </c>
      <c r="J839" t="str">
        <f t="shared" si="53"/>
        <v>C[N+](C)(C)CCO.[Cl-]C(=O)(N)N</v>
      </c>
      <c r="K839">
        <v>75</v>
      </c>
      <c r="M839">
        <f t="shared" si="54"/>
        <v>0.83775464848239545</v>
      </c>
      <c r="N839">
        <f t="shared" si="55"/>
        <v>5.2679161750191916</v>
      </c>
    </row>
    <row r="840" spans="1:14" x14ac:dyDescent="0.35">
      <c r="A840">
        <v>838</v>
      </c>
      <c r="B840" t="s">
        <v>7</v>
      </c>
      <c r="C840" t="s">
        <v>61</v>
      </c>
      <c r="D840">
        <v>0.2857142857142857</v>
      </c>
      <c r="E840">
        <v>0.7142857142857143</v>
      </c>
      <c r="F840">
        <v>323.14999999999998</v>
      </c>
      <c r="G840">
        <v>12280.002315</v>
      </c>
      <c r="H840">
        <f t="shared" si="52"/>
        <v>-1.6820086052689358</v>
      </c>
      <c r="I840">
        <v>0.186</v>
      </c>
      <c r="J840" t="str">
        <f t="shared" si="53"/>
        <v>C[N+](C)(C)CCO.[Cl-]C(=O)(N)N</v>
      </c>
      <c r="K840">
        <v>75</v>
      </c>
      <c r="M840">
        <f t="shared" si="54"/>
        <v>0.83775464848239545</v>
      </c>
      <c r="N840">
        <f t="shared" si="55"/>
        <v>6.246668211062385</v>
      </c>
    </row>
    <row r="841" spans="1:14" x14ac:dyDescent="0.35">
      <c r="A841">
        <v>839</v>
      </c>
      <c r="B841" t="s">
        <v>7</v>
      </c>
      <c r="C841" t="s">
        <v>61</v>
      </c>
      <c r="D841">
        <v>0.2857142857142857</v>
      </c>
      <c r="E841">
        <v>0.7142857142857143</v>
      </c>
      <c r="F841">
        <v>333.15</v>
      </c>
      <c r="G841">
        <v>1080</v>
      </c>
      <c r="H841">
        <f t="shared" si="52"/>
        <v>-3.44</v>
      </c>
      <c r="I841">
        <v>3.2064685327860769E-2</v>
      </c>
      <c r="J841" t="str">
        <f t="shared" si="53"/>
        <v>C[N+](C)(C)CCO.[Cl-]C(=O)(N)N</v>
      </c>
      <c r="K841">
        <v>75</v>
      </c>
      <c r="M841">
        <f t="shared" si="54"/>
        <v>1.6214713250298407</v>
      </c>
      <c r="N841">
        <f t="shared" si="55"/>
        <v>-1.7330579646172149E-2</v>
      </c>
    </row>
    <row r="842" spans="1:14" x14ac:dyDescent="0.35">
      <c r="A842">
        <v>840</v>
      </c>
      <c r="B842" t="s">
        <v>7</v>
      </c>
      <c r="C842" t="s">
        <v>61</v>
      </c>
      <c r="D842">
        <v>0.2857142857142857</v>
      </c>
      <c r="E842">
        <v>0.7142857142857143</v>
      </c>
      <c r="F842">
        <v>333.15</v>
      </c>
      <c r="G842">
        <v>2540</v>
      </c>
      <c r="H842">
        <f t="shared" si="52"/>
        <v>-2.69</v>
      </c>
      <c r="I842">
        <v>6.7880939371761442E-2</v>
      </c>
      <c r="J842" t="str">
        <f t="shared" si="53"/>
        <v>C[N+](C)(C)CCO.[Cl-]C(=O)(N)N</v>
      </c>
      <c r="K842">
        <v>75</v>
      </c>
      <c r="M842">
        <f t="shared" si="54"/>
        <v>1.6214713250298407</v>
      </c>
      <c r="N842">
        <f t="shared" si="55"/>
        <v>0.79922623679181559</v>
      </c>
    </row>
    <row r="843" spans="1:14" x14ac:dyDescent="0.35">
      <c r="A843">
        <v>841</v>
      </c>
      <c r="B843" t="s">
        <v>7</v>
      </c>
      <c r="C843" t="s">
        <v>61</v>
      </c>
      <c r="D843">
        <v>0.2857142857142857</v>
      </c>
      <c r="E843">
        <v>0.7142857142857143</v>
      </c>
      <c r="F843">
        <v>333.15</v>
      </c>
      <c r="G843">
        <v>4030</v>
      </c>
      <c r="H843">
        <f t="shared" si="52"/>
        <v>-2.41</v>
      </c>
      <c r="I843">
        <v>8.9815294572247628E-2</v>
      </c>
      <c r="J843" t="str">
        <f t="shared" si="53"/>
        <v>C[N+](C)(C)CCO.[Cl-]C(=O)(N)N</v>
      </c>
      <c r="K843">
        <v>75</v>
      </c>
      <c r="M843">
        <f t="shared" si="54"/>
        <v>1.6214713250298407</v>
      </c>
      <c r="N843">
        <f t="shared" si="55"/>
        <v>1.632561617951132</v>
      </c>
    </row>
    <row r="844" spans="1:14" x14ac:dyDescent="0.35">
      <c r="A844">
        <v>842</v>
      </c>
      <c r="B844" t="s">
        <v>7</v>
      </c>
      <c r="C844" t="s">
        <v>61</v>
      </c>
      <c r="D844">
        <v>0.2857142857142857</v>
      </c>
      <c r="E844">
        <v>0.7142857142857143</v>
      </c>
      <c r="F844">
        <v>333.15</v>
      </c>
      <c r="G844">
        <v>5980</v>
      </c>
      <c r="H844">
        <f t="shared" si="52"/>
        <v>-2.15</v>
      </c>
      <c r="I844">
        <v>0.11648415777349697</v>
      </c>
      <c r="J844" t="str">
        <f t="shared" si="53"/>
        <v>C[N+](C)(C)CCO.[Cl-]C(=O)(N)N</v>
      </c>
      <c r="K844">
        <v>75</v>
      </c>
      <c r="M844">
        <f t="shared" si="54"/>
        <v>1.6214713250298407</v>
      </c>
      <c r="N844">
        <f t="shared" si="55"/>
        <v>2.7231683248374856</v>
      </c>
    </row>
    <row r="845" spans="1:14" x14ac:dyDescent="0.35">
      <c r="A845">
        <v>843</v>
      </c>
      <c r="B845" t="s">
        <v>7</v>
      </c>
      <c r="C845" t="s">
        <v>61</v>
      </c>
      <c r="D845">
        <v>0.2857142857142857</v>
      </c>
      <c r="E845">
        <v>0.7142857142857143</v>
      </c>
      <c r="F845">
        <v>333.15</v>
      </c>
      <c r="G845">
        <v>8039.9968950000002</v>
      </c>
      <c r="H845">
        <f t="shared" si="52"/>
        <v>-1.9732813458514451</v>
      </c>
      <c r="I845">
        <v>0.13900000000000001</v>
      </c>
      <c r="J845" t="str">
        <f t="shared" si="53"/>
        <v>C[N+](C)(C)CCO.[Cl-]C(=O)(N)N</v>
      </c>
      <c r="K845">
        <v>75</v>
      </c>
      <c r="M845">
        <f t="shared" si="54"/>
        <v>1.6214713250298407</v>
      </c>
      <c r="N845">
        <f t="shared" si="55"/>
        <v>3.875294699120595</v>
      </c>
    </row>
    <row r="846" spans="1:14" x14ac:dyDescent="0.35">
      <c r="A846">
        <v>844</v>
      </c>
      <c r="B846" t="s">
        <v>7</v>
      </c>
      <c r="C846" t="s">
        <v>61</v>
      </c>
      <c r="D846">
        <v>0.2857142857142857</v>
      </c>
      <c r="E846">
        <v>0.7142857142857143</v>
      </c>
      <c r="F846">
        <v>333.15</v>
      </c>
      <c r="G846">
        <v>10040.0004075</v>
      </c>
      <c r="H846">
        <f t="shared" si="52"/>
        <v>-1.8838747581358606</v>
      </c>
      <c r="I846">
        <v>0.152</v>
      </c>
      <c r="J846" t="str">
        <f t="shared" si="53"/>
        <v>C[N+](C)(C)CCO.[Cl-]C(=O)(N)N</v>
      </c>
      <c r="K846">
        <v>75</v>
      </c>
      <c r="M846">
        <f t="shared" si="54"/>
        <v>1.6214713250298407</v>
      </c>
      <c r="N846">
        <f t="shared" si="55"/>
        <v>4.9938676450327817</v>
      </c>
    </row>
    <row r="847" spans="1:14" x14ac:dyDescent="0.35">
      <c r="A847">
        <v>845</v>
      </c>
      <c r="B847" t="s">
        <v>7</v>
      </c>
      <c r="C847" t="s">
        <v>61</v>
      </c>
      <c r="D847">
        <v>0.2857142857142857</v>
      </c>
      <c r="E847">
        <v>0.7142857142857143</v>
      </c>
      <c r="F847">
        <v>333.15</v>
      </c>
      <c r="G847">
        <v>12550.0030425</v>
      </c>
      <c r="H847">
        <f t="shared" si="52"/>
        <v>-1.7837912995788781</v>
      </c>
      <c r="I847">
        <v>0.16800000000000001</v>
      </c>
      <c r="J847" t="str">
        <f t="shared" si="53"/>
        <v>C[N+](C)(C)CCO.[Cl-]C(=O)(N)N</v>
      </c>
      <c r="K847">
        <v>75</v>
      </c>
      <c r="M847">
        <f t="shared" si="54"/>
        <v>1.6214713250298407</v>
      </c>
      <c r="N847">
        <f t="shared" si="55"/>
        <v>6.3976757004345357</v>
      </c>
    </row>
    <row r="848" spans="1:14" x14ac:dyDescent="0.35">
      <c r="A848">
        <v>846</v>
      </c>
      <c r="B848" t="s">
        <v>7</v>
      </c>
      <c r="C848" t="s">
        <v>45</v>
      </c>
      <c r="D848">
        <v>0.25</v>
      </c>
      <c r="E848">
        <v>0.75</v>
      </c>
      <c r="F848">
        <v>293.14999999999998</v>
      </c>
      <c r="G848">
        <v>112.8</v>
      </c>
      <c r="H848">
        <f t="shared" si="52"/>
        <v>-5.6</v>
      </c>
      <c r="I848">
        <v>3.697863716482932E-3</v>
      </c>
      <c r="J848" t="str">
        <f t="shared" si="53"/>
        <v>C[N+](C)(C)CCO.[Cl-]C(COCCO)O</v>
      </c>
      <c r="K848">
        <v>82</v>
      </c>
      <c r="M848">
        <f t="shared" si="54"/>
        <v>-1.5133953811599403</v>
      </c>
      <c r="N848">
        <f t="shared" si="55"/>
        <v>-0.55827150626180355</v>
      </c>
    </row>
    <row r="849" spans="1:14" x14ac:dyDescent="0.35">
      <c r="A849">
        <v>847</v>
      </c>
      <c r="B849" t="s">
        <v>7</v>
      </c>
      <c r="C849" t="s">
        <v>45</v>
      </c>
      <c r="D849">
        <v>0.25</v>
      </c>
      <c r="E849">
        <v>0.75</v>
      </c>
      <c r="F849">
        <v>293.14999999999998</v>
      </c>
      <c r="G849">
        <v>212.2</v>
      </c>
      <c r="H849">
        <f t="shared" si="52"/>
        <v>-4.88</v>
      </c>
      <c r="I849">
        <v>7.597014027577567E-3</v>
      </c>
      <c r="J849" t="str">
        <f t="shared" si="53"/>
        <v>C[N+](C)(C)CCO.[Cl-]C(COCCO)O</v>
      </c>
      <c r="K849">
        <v>82</v>
      </c>
      <c r="M849">
        <f t="shared" si="54"/>
        <v>-1.5133953811599403</v>
      </c>
      <c r="N849">
        <f t="shared" si="55"/>
        <v>-0.50267852848513495</v>
      </c>
    </row>
    <row r="850" spans="1:14" x14ac:dyDescent="0.35">
      <c r="A850">
        <v>848</v>
      </c>
      <c r="B850" t="s">
        <v>7</v>
      </c>
      <c r="C850" t="s">
        <v>45</v>
      </c>
      <c r="D850">
        <v>0.25</v>
      </c>
      <c r="E850">
        <v>0.75</v>
      </c>
      <c r="F850">
        <v>293.14999999999998</v>
      </c>
      <c r="G850">
        <v>314.89999999999998</v>
      </c>
      <c r="H850">
        <f t="shared" si="52"/>
        <v>-4.51</v>
      </c>
      <c r="I850">
        <v>1.0998460175806881E-2</v>
      </c>
      <c r="J850" t="str">
        <f t="shared" si="53"/>
        <v>C[N+](C)(C)CCO.[Cl-]C(COCCO)O</v>
      </c>
      <c r="K850">
        <v>82</v>
      </c>
      <c r="M850">
        <f t="shared" si="54"/>
        <v>-1.5133953811599403</v>
      </c>
      <c r="N850">
        <f t="shared" si="55"/>
        <v>-0.44523990858912038</v>
      </c>
    </row>
    <row r="851" spans="1:14" x14ac:dyDescent="0.35">
      <c r="A851">
        <v>849</v>
      </c>
      <c r="B851" t="s">
        <v>7</v>
      </c>
      <c r="C851" t="s">
        <v>45</v>
      </c>
      <c r="D851">
        <v>0.25</v>
      </c>
      <c r="E851">
        <v>0.75</v>
      </c>
      <c r="F851">
        <v>293.14999999999998</v>
      </c>
      <c r="G851">
        <v>409.8</v>
      </c>
      <c r="H851">
        <f t="shared" si="52"/>
        <v>-4.22</v>
      </c>
      <c r="I851">
        <v>1.4698644504901784E-2</v>
      </c>
      <c r="J851" t="str">
        <f t="shared" si="53"/>
        <v>C[N+](C)(C)CCO.[Cl-]C(COCCO)O</v>
      </c>
      <c r="K851">
        <v>82</v>
      </c>
      <c r="M851">
        <f t="shared" si="54"/>
        <v>-1.5133953811599403</v>
      </c>
      <c r="N851">
        <f t="shared" si="55"/>
        <v>-0.39216371552065121</v>
      </c>
    </row>
    <row r="852" spans="1:14" x14ac:dyDescent="0.35">
      <c r="A852">
        <v>850</v>
      </c>
      <c r="B852" t="s">
        <v>7</v>
      </c>
      <c r="C852" t="s">
        <v>45</v>
      </c>
      <c r="D852">
        <v>0.25</v>
      </c>
      <c r="E852">
        <v>0.75</v>
      </c>
      <c r="F852">
        <v>293.14999999999998</v>
      </c>
      <c r="G852">
        <v>512.9</v>
      </c>
      <c r="H852">
        <f t="shared" si="52"/>
        <v>-3.97</v>
      </c>
      <c r="I852">
        <v>1.8873433135151486E-2</v>
      </c>
      <c r="J852" t="str">
        <f t="shared" si="53"/>
        <v>C[N+](C)(C)CCO.[Cl-]C(COCCO)O</v>
      </c>
      <c r="K852">
        <v>82</v>
      </c>
      <c r="M852">
        <f t="shared" si="54"/>
        <v>-1.5133953811599403</v>
      </c>
      <c r="N852">
        <f t="shared" si="55"/>
        <v>-0.33450138142835223</v>
      </c>
    </row>
    <row r="853" spans="1:14" x14ac:dyDescent="0.35">
      <c r="A853">
        <v>851</v>
      </c>
      <c r="B853" t="s">
        <v>7</v>
      </c>
      <c r="C853" t="s">
        <v>45</v>
      </c>
      <c r="D853">
        <v>0.25</v>
      </c>
      <c r="E853">
        <v>0.75</v>
      </c>
      <c r="F853">
        <v>303.14999999999998</v>
      </c>
      <c r="G853">
        <v>117.7</v>
      </c>
      <c r="H853">
        <f t="shared" si="52"/>
        <v>-5.6</v>
      </c>
      <c r="I853">
        <v>3.697863716482932E-3</v>
      </c>
      <c r="J853" t="str">
        <f t="shared" si="53"/>
        <v>C[N+](C)(C)CCO.[Cl-]C(COCCO)O</v>
      </c>
      <c r="K853">
        <v>82</v>
      </c>
      <c r="M853">
        <f t="shared" si="54"/>
        <v>-0.72967870461249518</v>
      </c>
      <c r="N853">
        <f t="shared" si="55"/>
        <v>-0.55553100735731986</v>
      </c>
    </row>
    <row r="854" spans="1:14" x14ac:dyDescent="0.35">
      <c r="A854">
        <v>852</v>
      </c>
      <c r="B854" t="s">
        <v>7</v>
      </c>
      <c r="C854" t="s">
        <v>45</v>
      </c>
      <c r="D854">
        <v>0.25</v>
      </c>
      <c r="E854">
        <v>0.75</v>
      </c>
      <c r="F854">
        <v>303.14999999999998</v>
      </c>
      <c r="G854">
        <v>215.1</v>
      </c>
      <c r="H854">
        <f t="shared" si="52"/>
        <v>-4.9800000000000004</v>
      </c>
      <c r="I854">
        <v>6.8740625574962482E-3</v>
      </c>
      <c r="J854" t="str">
        <f t="shared" si="53"/>
        <v>C[N+](C)(C)CCO.[Cl-]C(COCCO)O</v>
      </c>
      <c r="K854">
        <v>82</v>
      </c>
      <c r="M854">
        <f t="shared" si="54"/>
        <v>-0.72967870461249518</v>
      </c>
      <c r="N854">
        <f t="shared" si="55"/>
        <v>-0.50105660056207324</v>
      </c>
    </row>
    <row r="855" spans="1:14" x14ac:dyDescent="0.35">
      <c r="A855">
        <v>853</v>
      </c>
      <c r="B855" t="s">
        <v>7</v>
      </c>
      <c r="C855" t="s">
        <v>45</v>
      </c>
      <c r="D855">
        <v>0.25</v>
      </c>
      <c r="E855">
        <v>0.75</v>
      </c>
      <c r="F855">
        <v>303.14999999999998</v>
      </c>
      <c r="G855">
        <v>321.3</v>
      </c>
      <c r="H855">
        <f t="shared" si="52"/>
        <v>-4.5599999999999996</v>
      </c>
      <c r="I855">
        <v>1.0462058943426803E-2</v>
      </c>
      <c r="J855" t="str">
        <f t="shared" si="53"/>
        <v>C[N+](C)(C)CCO.[Cl-]C(COCCO)O</v>
      </c>
      <c r="K855">
        <v>82</v>
      </c>
      <c r="M855">
        <f t="shared" si="54"/>
        <v>-0.72967870461249518</v>
      </c>
      <c r="N855">
        <f t="shared" si="55"/>
        <v>-0.44166048144857034</v>
      </c>
    </row>
    <row r="856" spans="1:14" x14ac:dyDescent="0.35">
      <c r="A856">
        <v>854</v>
      </c>
      <c r="B856" t="s">
        <v>7</v>
      </c>
      <c r="C856" t="s">
        <v>45</v>
      </c>
      <c r="D856">
        <v>0.25</v>
      </c>
      <c r="E856">
        <v>0.75</v>
      </c>
      <c r="F856">
        <v>303.14999999999998</v>
      </c>
      <c r="G856">
        <v>415.1</v>
      </c>
      <c r="H856">
        <f t="shared" si="52"/>
        <v>-4.3</v>
      </c>
      <c r="I856">
        <v>1.3568559012200934E-2</v>
      </c>
      <c r="J856" t="str">
        <f t="shared" si="53"/>
        <v>C[N+](C)(C)CCO.[Cl-]C(COCCO)O</v>
      </c>
      <c r="K856">
        <v>82</v>
      </c>
      <c r="M856">
        <f t="shared" si="54"/>
        <v>-0.72967870461249518</v>
      </c>
      <c r="N856">
        <f t="shared" si="55"/>
        <v>-0.38919950241988316</v>
      </c>
    </row>
    <row r="857" spans="1:14" x14ac:dyDescent="0.35">
      <c r="A857">
        <v>855</v>
      </c>
      <c r="B857" t="s">
        <v>7</v>
      </c>
      <c r="C857" t="s">
        <v>45</v>
      </c>
      <c r="D857">
        <v>0.25</v>
      </c>
      <c r="E857">
        <v>0.75</v>
      </c>
      <c r="F857">
        <v>303.14999999999998</v>
      </c>
      <c r="G857">
        <v>524</v>
      </c>
      <c r="H857">
        <f t="shared" si="52"/>
        <v>-4.08</v>
      </c>
      <c r="I857">
        <v>1.6907465652705279E-2</v>
      </c>
      <c r="J857" t="str">
        <f t="shared" si="53"/>
        <v>C[N+](C)(C)CCO.[Cl-]C(COCCO)O</v>
      </c>
      <c r="K857">
        <v>82</v>
      </c>
      <c r="M857">
        <f t="shared" si="54"/>
        <v>-0.72967870461249518</v>
      </c>
      <c r="N857">
        <f t="shared" si="55"/>
        <v>-0.32829331248146065</v>
      </c>
    </row>
    <row r="858" spans="1:14" x14ac:dyDescent="0.35">
      <c r="A858">
        <v>856</v>
      </c>
      <c r="B858" t="s">
        <v>7</v>
      </c>
      <c r="C858" t="s">
        <v>45</v>
      </c>
      <c r="D858">
        <v>0.25</v>
      </c>
      <c r="E858">
        <v>0.75</v>
      </c>
      <c r="F858">
        <v>313.14999999999998</v>
      </c>
      <c r="G858">
        <v>116.9</v>
      </c>
      <c r="H858">
        <f t="shared" si="52"/>
        <v>-5.81</v>
      </c>
      <c r="I858">
        <v>2.9974300723258312E-3</v>
      </c>
      <c r="J858" t="str">
        <f t="shared" si="53"/>
        <v>C[N+](C)(C)CCO.[Cl-]C(COCCO)O</v>
      </c>
      <c r="K858">
        <v>82</v>
      </c>
      <c r="M858">
        <f t="shared" si="54"/>
        <v>5.4037971934950142E-2</v>
      </c>
      <c r="N858">
        <f t="shared" si="55"/>
        <v>-0.55597843574988859</v>
      </c>
    </row>
    <row r="859" spans="1:14" x14ac:dyDescent="0.35">
      <c r="A859">
        <v>857</v>
      </c>
      <c r="B859" t="s">
        <v>7</v>
      </c>
      <c r="C859" t="s">
        <v>45</v>
      </c>
      <c r="D859">
        <v>0.25</v>
      </c>
      <c r="E859">
        <v>0.75</v>
      </c>
      <c r="F859">
        <v>313.14999999999998</v>
      </c>
      <c r="G859">
        <v>219.6</v>
      </c>
      <c r="H859">
        <f t="shared" si="52"/>
        <v>-5.13</v>
      </c>
      <c r="I859">
        <v>5.9165604736818572E-3</v>
      </c>
      <c r="J859" t="str">
        <f t="shared" si="53"/>
        <v>C[N+](C)(C)CCO.[Cl-]C(COCCO)O</v>
      </c>
      <c r="K859">
        <v>82</v>
      </c>
      <c r="M859">
        <f t="shared" si="54"/>
        <v>5.4037971934950142E-2</v>
      </c>
      <c r="N859">
        <f t="shared" si="55"/>
        <v>-0.49853981585387397</v>
      </c>
    </row>
    <row r="860" spans="1:14" x14ac:dyDescent="0.35">
      <c r="A860">
        <v>858</v>
      </c>
      <c r="B860" t="s">
        <v>7</v>
      </c>
      <c r="C860" t="s">
        <v>45</v>
      </c>
      <c r="D860">
        <v>0.25</v>
      </c>
      <c r="E860">
        <v>0.75</v>
      </c>
      <c r="F860">
        <v>313.14999999999998</v>
      </c>
      <c r="G860">
        <v>327</v>
      </c>
      <c r="H860">
        <f t="shared" si="52"/>
        <v>-4.7</v>
      </c>
      <c r="I860">
        <v>9.0952771016958155E-3</v>
      </c>
      <c r="J860" t="str">
        <f t="shared" si="53"/>
        <v>C[N+](C)(C)CCO.[Cl-]C(COCCO)O</v>
      </c>
      <c r="K860">
        <v>82</v>
      </c>
      <c r="M860">
        <f t="shared" si="54"/>
        <v>5.4037971934950142E-2</v>
      </c>
      <c r="N860">
        <f t="shared" si="55"/>
        <v>-0.43847255415151787</v>
      </c>
    </row>
    <row r="861" spans="1:14" x14ac:dyDescent="0.35">
      <c r="A861">
        <v>859</v>
      </c>
      <c r="B861" t="s">
        <v>7</v>
      </c>
      <c r="C861" t="s">
        <v>45</v>
      </c>
      <c r="D861">
        <v>0.25</v>
      </c>
      <c r="E861">
        <v>0.75</v>
      </c>
      <c r="F861">
        <v>313.14999999999998</v>
      </c>
      <c r="G861">
        <v>417.7</v>
      </c>
      <c r="H861">
        <f t="shared" si="52"/>
        <v>-4.47</v>
      </c>
      <c r="I861">
        <v>1.1447315850505711E-2</v>
      </c>
      <c r="J861" t="str">
        <f t="shared" si="53"/>
        <v>C[N+](C)(C)CCO.[Cl-]C(COCCO)O</v>
      </c>
      <c r="K861">
        <v>82</v>
      </c>
      <c r="M861">
        <f t="shared" si="54"/>
        <v>5.4037971934950142E-2</v>
      </c>
      <c r="N861">
        <f t="shared" si="55"/>
        <v>-0.38774536014403466</v>
      </c>
    </row>
    <row r="862" spans="1:14" x14ac:dyDescent="0.35">
      <c r="A862">
        <v>860</v>
      </c>
      <c r="B862" t="s">
        <v>7</v>
      </c>
      <c r="C862" t="s">
        <v>45</v>
      </c>
      <c r="D862">
        <v>0.25</v>
      </c>
      <c r="E862">
        <v>0.75</v>
      </c>
      <c r="F862">
        <v>313.14999999999998</v>
      </c>
      <c r="G862">
        <v>515.70000000000005</v>
      </c>
      <c r="H862">
        <f t="shared" si="52"/>
        <v>-4.2545133143749219</v>
      </c>
      <c r="I862">
        <v>1.4200000000000001E-2</v>
      </c>
      <c r="J862" t="str">
        <f t="shared" si="53"/>
        <v>C[N+](C)(C)CCO.[Cl-]C(COCCO)O</v>
      </c>
      <c r="K862">
        <v>82</v>
      </c>
      <c r="M862">
        <f t="shared" si="54"/>
        <v>5.4037971934950142E-2</v>
      </c>
      <c r="N862">
        <f t="shared" si="55"/>
        <v>-0.33293538205436152</v>
      </c>
    </row>
    <row r="863" spans="1:14" x14ac:dyDescent="0.35">
      <c r="A863">
        <v>861</v>
      </c>
      <c r="B863" t="s">
        <v>7</v>
      </c>
      <c r="C863" t="s">
        <v>45</v>
      </c>
      <c r="D863">
        <v>0.25</v>
      </c>
      <c r="E863">
        <v>0.75</v>
      </c>
      <c r="F863">
        <v>323.14999999999998</v>
      </c>
      <c r="G863">
        <v>122.5</v>
      </c>
      <c r="H863">
        <f t="shared" si="52"/>
        <v>-5.99</v>
      </c>
      <c r="I863">
        <v>2.5036640502020999E-3</v>
      </c>
      <c r="J863" t="str">
        <f t="shared" si="53"/>
        <v>C[N+](C)(C)CCO.[Cl-]C(COCCO)O</v>
      </c>
      <c r="K863">
        <v>82</v>
      </c>
      <c r="M863">
        <f t="shared" si="54"/>
        <v>0.83775464848239545</v>
      </c>
      <c r="N863">
        <f t="shared" si="55"/>
        <v>-0.55284643700190728</v>
      </c>
    </row>
    <row r="864" spans="1:14" x14ac:dyDescent="0.35">
      <c r="A864">
        <v>862</v>
      </c>
      <c r="B864" t="s">
        <v>7</v>
      </c>
      <c r="C864" t="s">
        <v>45</v>
      </c>
      <c r="D864">
        <v>0.25</v>
      </c>
      <c r="E864">
        <v>0.75</v>
      </c>
      <c r="F864">
        <v>323.14999999999998</v>
      </c>
      <c r="G864">
        <v>220.3</v>
      </c>
      <c r="H864">
        <f t="shared" si="52"/>
        <v>-5.38</v>
      </c>
      <c r="I864">
        <v>4.6078219299927519E-3</v>
      </c>
      <c r="J864" t="str">
        <f t="shared" si="53"/>
        <v>C[N+](C)(C)CCO.[Cl-]C(COCCO)O</v>
      </c>
      <c r="K864">
        <v>82</v>
      </c>
      <c r="M864">
        <f t="shared" si="54"/>
        <v>0.83775464848239545</v>
      </c>
      <c r="N864">
        <f t="shared" si="55"/>
        <v>-0.49814831601037635</v>
      </c>
    </row>
    <row r="865" spans="1:14" x14ac:dyDescent="0.35">
      <c r="A865">
        <v>863</v>
      </c>
      <c r="B865" t="s">
        <v>7</v>
      </c>
      <c r="C865" t="s">
        <v>45</v>
      </c>
      <c r="D865">
        <v>0.25</v>
      </c>
      <c r="E865">
        <v>0.75</v>
      </c>
      <c r="F865">
        <v>323.14999999999998</v>
      </c>
      <c r="G865">
        <v>321</v>
      </c>
      <c r="H865">
        <f t="shared" si="52"/>
        <v>-4.99</v>
      </c>
      <c r="I865">
        <v>6.8056644922305431E-3</v>
      </c>
      <c r="J865" t="str">
        <f t="shared" si="53"/>
        <v>C[N+](C)(C)CCO.[Cl-]C(COCCO)O</v>
      </c>
      <c r="K865">
        <v>82</v>
      </c>
      <c r="M865">
        <f t="shared" si="54"/>
        <v>0.83775464848239545</v>
      </c>
      <c r="N865">
        <f t="shared" si="55"/>
        <v>-0.4418282670957836</v>
      </c>
    </row>
    <row r="866" spans="1:14" x14ac:dyDescent="0.35">
      <c r="A866">
        <v>864</v>
      </c>
      <c r="B866" t="s">
        <v>7</v>
      </c>
      <c r="C866" t="s">
        <v>45</v>
      </c>
      <c r="D866">
        <v>0.25</v>
      </c>
      <c r="E866">
        <v>0.75</v>
      </c>
      <c r="F866">
        <v>323.14999999999998</v>
      </c>
      <c r="G866">
        <v>421.2</v>
      </c>
      <c r="H866">
        <f t="shared" si="52"/>
        <v>-4.6900000000000004</v>
      </c>
      <c r="I866">
        <v>9.1866861562446642E-3</v>
      </c>
      <c r="J866" t="str">
        <f t="shared" si="53"/>
        <v>C[N+](C)(C)CCO.[Cl-]C(COCCO)O</v>
      </c>
      <c r="K866">
        <v>82</v>
      </c>
      <c r="M866">
        <f t="shared" si="54"/>
        <v>0.83775464848239545</v>
      </c>
      <c r="N866">
        <f t="shared" si="55"/>
        <v>-0.38578786092654632</v>
      </c>
    </row>
    <row r="867" spans="1:14" x14ac:dyDescent="0.35">
      <c r="A867">
        <v>865</v>
      </c>
      <c r="B867" t="s">
        <v>7</v>
      </c>
      <c r="C867" t="s">
        <v>45</v>
      </c>
      <c r="D867">
        <v>0.25</v>
      </c>
      <c r="E867">
        <v>0.75</v>
      </c>
      <c r="F867">
        <v>323.14999999999998</v>
      </c>
      <c r="G867">
        <v>518</v>
      </c>
      <c r="H867">
        <f t="shared" si="52"/>
        <v>-4.46</v>
      </c>
      <c r="I867">
        <v>1.1562363287468536E-2</v>
      </c>
      <c r="J867" t="str">
        <f t="shared" si="53"/>
        <v>C[N+](C)(C)CCO.[Cl-]C(COCCO)O</v>
      </c>
      <c r="K867">
        <v>82</v>
      </c>
      <c r="M867">
        <f t="shared" si="54"/>
        <v>0.83775464848239545</v>
      </c>
      <c r="N867">
        <f t="shared" si="55"/>
        <v>-0.33164902542572633</v>
      </c>
    </row>
    <row r="868" spans="1:14" x14ac:dyDescent="0.35">
      <c r="A868">
        <v>866</v>
      </c>
      <c r="B868" t="s">
        <v>7</v>
      </c>
      <c r="C868" t="s">
        <v>49</v>
      </c>
      <c r="D868">
        <v>0.25</v>
      </c>
      <c r="E868">
        <v>0.75</v>
      </c>
      <c r="F868">
        <v>303.14999999999998</v>
      </c>
      <c r="G868">
        <v>80.900000000000006</v>
      </c>
      <c r="H868">
        <f t="shared" si="52"/>
        <v>-5.84</v>
      </c>
      <c r="I868">
        <v>2.9088426258125841E-3</v>
      </c>
      <c r="J868" t="str">
        <f t="shared" si="53"/>
        <v>C[N+](C)(C)CCO.[Cl-]C1=COC(=C1)CO</v>
      </c>
      <c r="K868">
        <v>85</v>
      </c>
      <c r="M868">
        <f t="shared" si="54"/>
        <v>-0.72967870461249518</v>
      </c>
      <c r="N868">
        <f t="shared" si="55"/>
        <v>-0.57611271341548276</v>
      </c>
    </row>
    <row r="869" spans="1:14" x14ac:dyDescent="0.35">
      <c r="A869">
        <v>867</v>
      </c>
      <c r="B869" t="s">
        <v>7</v>
      </c>
      <c r="C869" t="s">
        <v>49</v>
      </c>
      <c r="D869">
        <v>0.25</v>
      </c>
      <c r="E869">
        <v>0.75</v>
      </c>
      <c r="F869">
        <v>303.14999999999998</v>
      </c>
      <c r="G869">
        <v>218.3</v>
      </c>
      <c r="H869">
        <f t="shared" si="52"/>
        <v>-4.88</v>
      </c>
      <c r="I869">
        <v>7.597014027577567E-3</v>
      </c>
      <c r="J869" t="str">
        <f t="shared" si="53"/>
        <v>C[N+](C)(C)CCO.[Cl-]C1=COC(=C1)CO</v>
      </c>
      <c r="K869">
        <v>85</v>
      </c>
      <c r="M869">
        <f t="shared" si="54"/>
        <v>-0.72967870461249518</v>
      </c>
      <c r="N869">
        <f t="shared" si="55"/>
        <v>-0.49926688699179822</v>
      </c>
    </row>
    <row r="870" spans="1:14" x14ac:dyDescent="0.35">
      <c r="A870">
        <v>868</v>
      </c>
      <c r="B870" t="s">
        <v>7</v>
      </c>
      <c r="C870" t="s">
        <v>49</v>
      </c>
      <c r="D870">
        <v>0.25</v>
      </c>
      <c r="E870">
        <v>0.75</v>
      </c>
      <c r="F870">
        <v>303.14999999999998</v>
      </c>
      <c r="G870">
        <v>323.7</v>
      </c>
      <c r="H870">
        <f t="shared" si="52"/>
        <v>-4.47</v>
      </c>
      <c r="I870">
        <v>1.1447315850505711E-2</v>
      </c>
      <c r="J870" t="str">
        <f t="shared" si="53"/>
        <v>C[N+](C)(C)CCO.[Cl-]C1=COC(=C1)CO</v>
      </c>
      <c r="K870">
        <v>85</v>
      </c>
      <c r="M870">
        <f t="shared" si="54"/>
        <v>-0.72967870461249518</v>
      </c>
      <c r="N870">
        <f t="shared" si="55"/>
        <v>-0.44031819627086399</v>
      </c>
    </row>
    <row r="871" spans="1:14" x14ac:dyDescent="0.35">
      <c r="A871">
        <v>869</v>
      </c>
      <c r="B871" t="s">
        <v>7</v>
      </c>
      <c r="C871" t="s">
        <v>49</v>
      </c>
      <c r="D871">
        <v>0.25</v>
      </c>
      <c r="E871">
        <v>0.75</v>
      </c>
      <c r="F871">
        <v>303.14999999999998</v>
      </c>
      <c r="G871">
        <v>425.3</v>
      </c>
      <c r="H871">
        <f t="shared" si="52"/>
        <v>-4.22</v>
      </c>
      <c r="I871">
        <v>1.4698644504901784E-2</v>
      </c>
      <c r="J871" t="str">
        <f t="shared" si="53"/>
        <v>C[N+](C)(C)CCO.[Cl-]C1=COC(=C1)CO</v>
      </c>
      <c r="K871">
        <v>85</v>
      </c>
      <c r="M871">
        <f t="shared" si="54"/>
        <v>-0.72967870461249518</v>
      </c>
      <c r="N871">
        <f t="shared" si="55"/>
        <v>-0.38349479041463147</v>
      </c>
    </row>
    <row r="872" spans="1:14" x14ac:dyDescent="0.35">
      <c r="A872">
        <v>870</v>
      </c>
      <c r="B872" t="s">
        <v>7</v>
      </c>
      <c r="C872" t="s">
        <v>49</v>
      </c>
      <c r="D872">
        <v>0.25</v>
      </c>
      <c r="E872">
        <v>0.75</v>
      </c>
      <c r="F872">
        <v>303.14999999999998</v>
      </c>
      <c r="G872">
        <v>524.1</v>
      </c>
      <c r="H872">
        <f t="shared" si="52"/>
        <v>-4.0229545661354278</v>
      </c>
      <c r="I872">
        <v>1.7899999999999999E-2</v>
      </c>
      <c r="J872" t="str">
        <f t="shared" si="53"/>
        <v>C[N+](C)(C)CCO.[Cl-]C1=COC(=C1)CO</v>
      </c>
      <c r="K872">
        <v>85</v>
      </c>
      <c r="M872">
        <f t="shared" si="54"/>
        <v>-0.72967870461249518</v>
      </c>
      <c r="N872">
        <f t="shared" si="55"/>
        <v>-0.32823738393238955</v>
      </c>
    </row>
    <row r="873" spans="1:14" x14ac:dyDescent="0.35">
      <c r="A873">
        <v>871</v>
      </c>
      <c r="B873" t="s">
        <v>7</v>
      </c>
      <c r="C873" t="s">
        <v>49</v>
      </c>
      <c r="D873">
        <v>0.25</v>
      </c>
      <c r="E873">
        <v>0.75</v>
      </c>
      <c r="F873">
        <v>303.14999999999998</v>
      </c>
      <c r="G873">
        <v>582.79999999999995</v>
      </c>
      <c r="H873">
        <f t="shared" si="52"/>
        <v>-3.9271366432381942</v>
      </c>
      <c r="I873">
        <v>1.9699999999999999E-2</v>
      </c>
      <c r="J873" t="str">
        <f t="shared" si="53"/>
        <v>C[N+](C)(C)CCO.[Cl-]C1=COC(=C1)CO</v>
      </c>
      <c r="K873">
        <v>85</v>
      </c>
      <c r="M873">
        <f t="shared" si="54"/>
        <v>-0.72967870461249518</v>
      </c>
      <c r="N873">
        <f t="shared" si="55"/>
        <v>-0.29540732562765676</v>
      </c>
    </row>
    <row r="874" spans="1:14" x14ac:dyDescent="0.35">
      <c r="A874">
        <v>872</v>
      </c>
      <c r="B874" t="s">
        <v>7</v>
      </c>
      <c r="C874" t="s">
        <v>49</v>
      </c>
      <c r="D874">
        <v>0.25</v>
      </c>
      <c r="E874">
        <v>0.75</v>
      </c>
      <c r="F874">
        <v>313.14999999999998</v>
      </c>
      <c r="G874">
        <v>80.8</v>
      </c>
      <c r="H874">
        <f t="shared" si="52"/>
        <v>-6.03</v>
      </c>
      <c r="I874">
        <v>2.4054939786195095E-3</v>
      </c>
      <c r="J874" t="str">
        <f t="shared" si="53"/>
        <v>C[N+](C)(C)CCO.[Cl-]C1=COC(=C1)CO</v>
      </c>
      <c r="K874">
        <v>85</v>
      </c>
      <c r="M874">
        <f t="shared" si="54"/>
        <v>5.4037971934950142E-2</v>
      </c>
      <c r="N874">
        <f t="shared" si="55"/>
        <v>-0.57616864196455397</v>
      </c>
    </row>
    <row r="875" spans="1:14" x14ac:dyDescent="0.35">
      <c r="A875">
        <v>873</v>
      </c>
      <c r="B875" t="s">
        <v>7</v>
      </c>
      <c r="C875" t="s">
        <v>49</v>
      </c>
      <c r="D875">
        <v>0.25</v>
      </c>
      <c r="E875">
        <v>0.75</v>
      </c>
      <c r="F875">
        <v>313.14999999999998</v>
      </c>
      <c r="G875">
        <v>214.6</v>
      </c>
      <c r="H875">
        <f t="shared" si="52"/>
        <v>-5.07</v>
      </c>
      <c r="I875">
        <v>6.2824201408011177E-3</v>
      </c>
      <c r="J875" t="str">
        <f t="shared" si="53"/>
        <v>C[N+](C)(C)CCO.[Cl-]C1=COC(=C1)CO</v>
      </c>
      <c r="K875">
        <v>85</v>
      </c>
      <c r="M875">
        <f t="shared" si="54"/>
        <v>5.4037971934950142E-2</v>
      </c>
      <c r="N875">
        <f t="shared" si="55"/>
        <v>-0.50133624330742876</v>
      </c>
    </row>
    <row r="876" spans="1:14" x14ac:dyDescent="0.35">
      <c r="A876">
        <v>874</v>
      </c>
      <c r="B876" t="s">
        <v>7</v>
      </c>
      <c r="C876" t="s">
        <v>49</v>
      </c>
      <c r="D876">
        <v>0.25</v>
      </c>
      <c r="E876">
        <v>0.75</v>
      </c>
      <c r="F876">
        <v>313.14999999999998</v>
      </c>
      <c r="G876">
        <v>321.39999999999998</v>
      </c>
      <c r="H876">
        <f t="shared" si="52"/>
        <v>-4.66</v>
      </c>
      <c r="I876">
        <v>9.4664624017103231E-3</v>
      </c>
      <c r="J876" t="str">
        <f t="shared" si="53"/>
        <v>C[N+](C)(C)CCO.[Cl-]C1=COC(=C1)CO</v>
      </c>
      <c r="K876">
        <v>85</v>
      </c>
      <c r="M876">
        <f t="shared" si="54"/>
        <v>5.4037971934950142E-2</v>
      </c>
      <c r="N876">
        <f t="shared" si="55"/>
        <v>-0.44160455289949924</v>
      </c>
    </row>
    <row r="877" spans="1:14" x14ac:dyDescent="0.35">
      <c r="A877">
        <v>875</v>
      </c>
      <c r="B877" t="s">
        <v>7</v>
      </c>
      <c r="C877" t="s">
        <v>49</v>
      </c>
      <c r="D877">
        <v>0.25</v>
      </c>
      <c r="E877">
        <v>0.75</v>
      </c>
      <c r="F877">
        <v>313.14999999999998</v>
      </c>
      <c r="G877">
        <v>426.7</v>
      </c>
      <c r="H877">
        <f t="shared" si="52"/>
        <v>-4.3740584650247047</v>
      </c>
      <c r="I877">
        <v>1.26E-2</v>
      </c>
      <c r="J877" t="str">
        <f t="shared" si="53"/>
        <v>C[N+](C)(C)CCO.[Cl-]C1=COC(=C1)CO</v>
      </c>
      <c r="K877">
        <v>85</v>
      </c>
      <c r="M877">
        <f t="shared" si="54"/>
        <v>5.4037971934950142E-2</v>
      </c>
      <c r="N877">
        <f t="shared" si="55"/>
        <v>-0.38271179072763611</v>
      </c>
    </row>
    <row r="878" spans="1:14" x14ac:dyDescent="0.35">
      <c r="A878">
        <v>876</v>
      </c>
      <c r="B878" t="s">
        <v>7</v>
      </c>
      <c r="C878" t="s">
        <v>49</v>
      </c>
      <c r="D878">
        <v>0.25</v>
      </c>
      <c r="E878">
        <v>0.75</v>
      </c>
      <c r="F878">
        <v>313.14999999999998</v>
      </c>
      <c r="G878">
        <v>523.20000000000005</v>
      </c>
      <c r="H878">
        <f t="shared" si="52"/>
        <v>-4.17</v>
      </c>
      <c r="I878">
        <v>1.5452260123909515E-2</v>
      </c>
      <c r="J878" t="str">
        <f t="shared" si="53"/>
        <v>C[N+](C)(C)CCO.[Cl-]C1=COC(=C1)CO</v>
      </c>
      <c r="K878">
        <v>85</v>
      </c>
      <c r="M878">
        <f t="shared" si="54"/>
        <v>5.4037971934950142E-2</v>
      </c>
      <c r="N878">
        <f t="shared" si="55"/>
        <v>-0.32874074087402938</v>
      </c>
    </row>
    <row r="879" spans="1:14" x14ac:dyDescent="0.35">
      <c r="A879">
        <v>877</v>
      </c>
      <c r="B879" t="s">
        <v>7</v>
      </c>
      <c r="C879" t="s">
        <v>49</v>
      </c>
      <c r="D879">
        <v>0.25</v>
      </c>
      <c r="E879">
        <v>0.75</v>
      </c>
      <c r="F879">
        <v>313.14999999999998</v>
      </c>
      <c r="G879">
        <v>581.70000000000005</v>
      </c>
      <c r="H879">
        <f t="shared" si="52"/>
        <v>-4.0570487774784034</v>
      </c>
      <c r="I879">
        <v>1.7299999999999999E-2</v>
      </c>
      <c r="J879" t="str">
        <f t="shared" si="53"/>
        <v>C[N+](C)(C)CCO.[Cl-]C1=COC(=C1)CO</v>
      </c>
      <c r="K879">
        <v>85</v>
      </c>
      <c r="M879">
        <f t="shared" si="54"/>
        <v>5.4037971934950142E-2</v>
      </c>
      <c r="N879">
        <f t="shared" si="55"/>
        <v>-0.29602253966743874</v>
      </c>
    </row>
    <row r="880" spans="1:14" x14ac:dyDescent="0.35">
      <c r="A880">
        <v>878</v>
      </c>
      <c r="B880" t="s">
        <v>7</v>
      </c>
      <c r="C880" t="s">
        <v>49</v>
      </c>
      <c r="D880">
        <v>0.25</v>
      </c>
      <c r="E880">
        <v>0.75</v>
      </c>
      <c r="F880">
        <v>323.14999999999998</v>
      </c>
      <c r="G880">
        <v>81.5</v>
      </c>
      <c r="H880">
        <f t="shared" si="52"/>
        <v>-6.07</v>
      </c>
      <c r="I880">
        <v>2.3111732106021292E-3</v>
      </c>
      <c r="J880" t="str">
        <f t="shared" si="53"/>
        <v>C[N+](C)(C)CCO.[Cl-]C1=COC(=C1)CO</v>
      </c>
      <c r="K880">
        <v>85</v>
      </c>
      <c r="M880">
        <f t="shared" si="54"/>
        <v>0.83775464848239545</v>
      </c>
      <c r="N880">
        <f t="shared" si="55"/>
        <v>-0.57577714212105624</v>
      </c>
    </row>
    <row r="881" spans="1:14" x14ac:dyDescent="0.35">
      <c r="A881">
        <v>879</v>
      </c>
      <c r="B881" t="s">
        <v>7</v>
      </c>
      <c r="C881" t="s">
        <v>49</v>
      </c>
      <c r="D881">
        <v>0.25</v>
      </c>
      <c r="E881">
        <v>0.75</v>
      </c>
      <c r="F881">
        <v>323.14999999999998</v>
      </c>
      <c r="G881">
        <v>222.1</v>
      </c>
      <c r="H881">
        <f t="shared" si="52"/>
        <v>-5.19</v>
      </c>
      <c r="I881">
        <v>5.5720068149199926E-3</v>
      </c>
      <c r="J881" t="str">
        <f t="shared" si="53"/>
        <v>C[N+](C)(C)CCO.[Cl-]C1=COC(=C1)CO</v>
      </c>
      <c r="K881">
        <v>85</v>
      </c>
      <c r="M881">
        <f t="shared" si="54"/>
        <v>0.83775464848239545</v>
      </c>
      <c r="N881">
        <f t="shared" si="55"/>
        <v>-0.49714160212709657</v>
      </c>
    </row>
    <row r="882" spans="1:14" x14ac:dyDescent="0.35">
      <c r="A882">
        <v>880</v>
      </c>
      <c r="B882" t="s">
        <v>7</v>
      </c>
      <c r="C882" t="s">
        <v>49</v>
      </c>
      <c r="D882">
        <v>0.25</v>
      </c>
      <c r="E882">
        <v>0.75</v>
      </c>
      <c r="F882">
        <v>323.14999999999998</v>
      </c>
      <c r="G882">
        <v>329.6</v>
      </c>
      <c r="H882">
        <f t="shared" si="52"/>
        <v>-4.78</v>
      </c>
      <c r="I882">
        <v>8.3959989674914706E-3</v>
      </c>
      <c r="J882" t="str">
        <f t="shared" si="53"/>
        <v>C[N+](C)(C)CCO.[Cl-]C1=COC(=C1)CO</v>
      </c>
      <c r="K882">
        <v>85</v>
      </c>
      <c r="M882">
        <f t="shared" si="54"/>
        <v>0.83775464848239545</v>
      </c>
      <c r="N882">
        <f t="shared" si="55"/>
        <v>-0.43701841187566942</v>
      </c>
    </row>
    <row r="883" spans="1:14" x14ac:dyDescent="0.35">
      <c r="A883">
        <v>881</v>
      </c>
      <c r="B883" t="s">
        <v>7</v>
      </c>
      <c r="C883" t="s">
        <v>49</v>
      </c>
      <c r="D883">
        <v>0.25</v>
      </c>
      <c r="E883">
        <v>0.75</v>
      </c>
      <c r="F883">
        <v>323.14999999999998</v>
      </c>
      <c r="G883">
        <v>428.9</v>
      </c>
      <c r="H883">
        <f t="shared" si="52"/>
        <v>-4.51</v>
      </c>
      <c r="I883">
        <v>1.0998460175806881E-2</v>
      </c>
      <c r="J883" t="str">
        <f t="shared" si="53"/>
        <v>C[N+](C)(C)CCO.[Cl-]C1=COC(=C1)CO</v>
      </c>
      <c r="K883">
        <v>85</v>
      </c>
      <c r="M883">
        <f t="shared" si="54"/>
        <v>0.83775464848239545</v>
      </c>
      <c r="N883">
        <f t="shared" si="55"/>
        <v>-0.38148136264807203</v>
      </c>
    </row>
    <row r="884" spans="1:14" x14ac:dyDescent="0.35">
      <c r="A884">
        <v>882</v>
      </c>
      <c r="B884" t="s">
        <v>7</v>
      </c>
      <c r="C884" t="s">
        <v>49</v>
      </c>
      <c r="D884">
        <v>0.25</v>
      </c>
      <c r="E884">
        <v>0.75</v>
      </c>
      <c r="F884">
        <v>323.14999999999998</v>
      </c>
      <c r="G884">
        <v>528.6</v>
      </c>
      <c r="H884">
        <f t="shared" si="52"/>
        <v>-4.3099999999999996</v>
      </c>
      <c r="I884">
        <v>1.3433549594245314E-2</v>
      </c>
      <c r="J884" t="str">
        <f t="shared" si="53"/>
        <v>C[N+](C)(C)CCO.[Cl-]C1=COC(=C1)CO</v>
      </c>
      <c r="K884">
        <v>85</v>
      </c>
      <c r="M884">
        <f t="shared" si="54"/>
        <v>0.83775464848239545</v>
      </c>
      <c r="N884">
        <f t="shared" si="55"/>
        <v>-0.32572059922419028</v>
      </c>
    </row>
    <row r="885" spans="1:14" x14ac:dyDescent="0.35">
      <c r="A885">
        <v>883</v>
      </c>
      <c r="B885" t="s">
        <v>7</v>
      </c>
      <c r="C885" t="s">
        <v>49</v>
      </c>
      <c r="D885">
        <v>0.25</v>
      </c>
      <c r="E885">
        <v>0.75</v>
      </c>
      <c r="F885">
        <v>323.14999999999998</v>
      </c>
      <c r="G885">
        <v>585.29999999999995</v>
      </c>
      <c r="H885">
        <f t="shared" si="52"/>
        <v>-4.21</v>
      </c>
      <c r="I885">
        <v>1.4846368338086832E-2</v>
      </c>
      <c r="J885" t="str">
        <f t="shared" si="53"/>
        <v>C[N+](C)(C)CCO.[Cl-]C1=COC(=C1)CO</v>
      </c>
      <c r="K885">
        <v>85</v>
      </c>
      <c r="M885">
        <f t="shared" si="54"/>
        <v>0.83775464848239545</v>
      </c>
      <c r="N885">
        <f t="shared" si="55"/>
        <v>-0.29400911190087942</v>
      </c>
    </row>
    <row r="886" spans="1:14" x14ac:dyDescent="0.35">
      <c r="A886">
        <v>884</v>
      </c>
      <c r="B886" t="s">
        <v>7</v>
      </c>
      <c r="C886" t="s">
        <v>49</v>
      </c>
      <c r="D886">
        <v>0.25</v>
      </c>
      <c r="E886">
        <v>0.75</v>
      </c>
      <c r="F886">
        <v>333.15</v>
      </c>
      <c r="G886">
        <v>86.3</v>
      </c>
      <c r="H886">
        <f t="shared" si="52"/>
        <v>-6.32</v>
      </c>
      <c r="I886">
        <v>1.7999435062305911E-3</v>
      </c>
      <c r="J886" t="str">
        <f t="shared" si="53"/>
        <v>C[N+](C)(C)CCO.[Cl-]C1=COC(=C1)CO</v>
      </c>
      <c r="K886">
        <v>85</v>
      </c>
      <c r="M886">
        <f t="shared" si="54"/>
        <v>1.6214713250298407</v>
      </c>
      <c r="N886">
        <f t="shared" si="55"/>
        <v>-0.57309257176564377</v>
      </c>
    </row>
    <row r="887" spans="1:14" x14ac:dyDescent="0.35">
      <c r="A887">
        <v>885</v>
      </c>
      <c r="B887" t="s">
        <v>7</v>
      </c>
      <c r="C887" t="s">
        <v>49</v>
      </c>
      <c r="D887">
        <v>0.25</v>
      </c>
      <c r="E887">
        <v>0.75</v>
      </c>
      <c r="F887">
        <v>333.15</v>
      </c>
      <c r="G887">
        <v>224.4</v>
      </c>
      <c r="H887">
        <f t="shared" si="52"/>
        <v>-5.36</v>
      </c>
      <c r="I887">
        <v>4.700906107583276E-3</v>
      </c>
      <c r="J887" t="str">
        <f t="shared" si="53"/>
        <v>C[N+](C)(C)CCO.[Cl-]C1=COC(=C1)CO</v>
      </c>
      <c r="K887">
        <v>85</v>
      </c>
      <c r="M887">
        <f t="shared" si="54"/>
        <v>1.6214713250298407</v>
      </c>
      <c r="N887">
        <f t="shared" si="55"/>
        <v>-0.49585524549846144</v>
      </c>
    </row>
    <row r="888" spans="1:14" x14ac:dyDescent="0.35">
      <c r="A888">
        <v>886</v>
      </c>
      <c r="B888" t="s">
        <v>7</v>
      </c>
      <c r="C888" t="s">
        <v>49</v>
      </c>
      <c r="D888">
        <v>0.25</v>
      </c>
      <c r="E888">
        <v>0.75</v>
      </c>
      <c r="F888">
        <v>333.15</v>
      </c>
      <c r="G888">
        <v>330.3</v>
      </c>
      <c r="H888">
        <f t="shared" si="52"/>
        <v>-4.93</v>
      </c>
      <c r="I888">
        <v>7.2265032813764625E-3</v>
      </c>
      <c r="J888" t="str">
        <f t="shared" si="53"/>
        <v>C[N+](C)(C)CCO.[Cl-]C1=COC(=C1)CO</v>
      </c>
      <c r="K888">
        <v>85</v>
      </c>
      <c r="M888">
        <f t="shared" si="54"/>
        <v>1.6214713250298407</v>
      </c>
      <c r="N888">
        <f t="shared" si="55"/>
        <v>-0.4366269120321718</v>
      </c>
    </row>
    <row r="889" spans="1:14" x14ac:dyDescent="0.35">
      <c r="A889">
        <v>887</v>
      </c>
      <c r="B889" t="s">
        <v>7</v>
      </c>
      <c r="C889" t="s">
        <v>49</v>
      </c>
      <c r="D889">
        <v>0.25</v>
      </c>
      <c r="E889">
        <v>0.75</v>
      </c>
      <c r="F889">
        <v>333.15</v>
      </c>
      <c r="G889">
        <v>430.4</v>
      </c>
      <c r="H889">
        <f t="shared" si="52"/>
        <v>-4.66</v>
      </c>
      <c r="I889">
        <v>9.4664624017103231E-3</v>
      </c>
      <c r="J889" t="str">
        <f t="shared" si="53"/>
        <v>C[N+](C)(C)CCO.[Cl-]C1=COC(=C1)CO</v>
      </c>
      <c r="K889">
        <v>85</v>
      </c>
      <c r="M889">
        <f t="shared" si="54"/>
        <v>1.6214713250298407</v>
      </c>
      <c r="N889">
        <f t="shared" si="55"/>
        <v>-0.38064243441200563</v>
      </c>
    </row>
    <row r="890" spans="1:14" x14ac:dyDescent="0.35">
      <c r="A890">
        <v>888</v>
      </c>
      <c r="B890" t="s">
        <v>7</v>
      </c>
      <c r="C890" t="s">
        <v>49</v>
      </c>
      <c r="D890">
        <v>0.25</v>
      </c>
      <c r="E890">
        <v>0.75</v>
      </c>
      <c r="F890">
        <v>333.15</v>
      </c>
      <c r="G890">
        <v>530.6</v>
      </c>
      <c r="H890">
        <f t="shared" si="52"/>
        <v>-4.4400000000000004</v>
      </c>
      <c r="I890">
        <v>1.1795938519751562E-2</v>
      </c>
      <c r="J890" t="str">
        <f t="shared" si="53"/>
        <v>C[N+](C)(C)CCO.[Cl-]C1=COC(=C1)CO</v>
      </c>
      <c r="K890">
        <v>85</v>
      </c>
      <c r="M890">
        <f t="shared" si="54"/>
        <v>1.6214713250298407</v>
      </c>
      <c r="N890">
        <f t="shared" si="55"/>
        <v>-0.32460202824276835</v>
      </c>
    </row>
    <row r="891" spans="1:14" x14ac:dyDescent="0.35">
      <c r="A891">
        <v>889</v>
      </c>
      <c r="B891" t="s">
        <v>7</v>
      </c>
      <c r="C891" t="s">
        <v>49</v>
      </c>
      <c r="D891">
        <v>0.25</v>
      </c>
      <c r="E891">
        <v>0.75</v>
      </c>
      <c r="F891">
        <v>333.15</v>
      </c>
      <c r="G891">
        <v>586.4</v>
      </c>
      <c r="H891">
        <f t="shared" si="52"/>
        <v>-4.3499999999999996</v>
      </c>
      <c r="I891">
        <v>1.2906812580479873E-2</v>
      </c>
      <c r="J891" t="str">
        <f t="shared" si="53"/>
        <v>C[N+](C)(C)CCO.[Cl-]C1=COC(=C1)CO</v>
      </c>
      <c r="K891">
        <v>85</v>
      </c>
      <c r="M891">
        <f t="shared" si="54"/>
        <v>1.6214713250298407</v>
      </c>
      <c r="N891">
        <f t="shared" si="55"/>
        <v>-0.29339389786109732</v>
      </c>
    </row>
    <row r="892" spans="1:14" x14ac:dyDescent="0.35">
      <c r="A892">
        <v>890</v>
      </c>
      <c r="B892" t="s">
        <v>7</v>
      </c>
      <c r="C892" t="s">
        <v>54</v>
      </c>
      <c r="D892">
        <v>0.25</v>
      </c>
      <c r="E892">
        <v>0.75</v>
      </c>
      <c r="F892">
        <v>303.14999999999998</v>
      </c>
      <c r="G892">
        <v>79.400000000000006</v>
      </c>
      <c r="H892">
        <f t="shared" si="52"/>
        <v>-5.45</v>
      </c>
      <c r="I892">
        <v>4.2963046907523398E-3</v>
      </c>
      <c r="J892" t="str">
        <f t="shared" si="53"/>
        <v>C[N+](C)(C)CCO.[Cl-]CC(=O)CCC(=O)O</v>
      </c>
      <c r="K892">
        <v>86</v>
      </c>
      <c r="M892">
        <f t="shared" si="54"/>
        <v>-0.72967870461249518</v>
      </c>
      <c r="N892">
        <f t="shared" si="55"/>
        <v>-0.57695164165154922</v>
      </c>
    </row>
    <row r="893" spans="1:14" x14ac:dyDescent="0.35">
      <c r="A893">
        <v>891</v>
      </c>
      <c r="B893" t="s">
        <v>7</v>
      </c>
      <c r="C893" t="s">
        <v>54</v>
      </c>
      <c r="D893">
        <v>0.25</v>
      </c>
      <c r="E893">
        <v>0.75</v>
      </c>
      <c r="F893">
        <v>303.14999999999998</v>
      </c>
      <c r="G893">
        <v>208.4</v>
      </c>
      <c r="H893">
        <f t="shared" si="52"/>
        <v>-4.5</v>
      </c>
      <c r="I893">
        <v>1.1108996538242306E-2</v>
      </c>
      <c r="J893" t="str">
        <f t="shared" si="53"/>
        <v>C[N+](C)(C)CCO.[Cl-]CC(=O)CCC(=O)O</v>
      </c>
      <c r="K893">
        <v>86</v>
      </c>
      <c r="M893">
        <f t="shared" si="54"/>
        <v>-0.72967870461249518</v>
      </c>
      <c r="N893">
        <f t="shared" si="55"/>
        <v>-0.50480381334983659</v>
      </c>
    </row>
    <row r="894" spans="1:14" x14ac:dyDescent="0.35">
      <c r="A894">
        <v>892</v>
      </c>
      <c r="B894" t="s">
        <v>7</v>
      </c>
      <c r="C894" t="s">
        <v>54</v>
      </c>
      <c r="D894">
        <v>0.25</v>
      </c>
      <c r="E894">
        <v>0.75</v>
      </c>
      <c r="F894">
        <v>303.14999999999998</v>
      </c>
      <c r="G894">
        <v>310.89999999999998</v>
      </c>
      <c r="H894">
        <f t="shared" si="52"/>
        <v>-4.1100000000000003</v>
      </c>
      <c r="I894">
        <v>1.6407774526292645E-2</v>
      </c>
      <c r="J894" t="str">
        <f t="shared" si="53"/>
        <v>C[N+](C)(C)CCO.[Cl-]CC(=O)CCC(=O)O</v>
      </c>
      <c r="K894">
        <v>86</v>
      </c>
      <c r="M894">
        <f t="shared" si="54"/>
        <v>-0.72967870461249518</v>
      </c>
      <c r="N894">
        <f t="shared" si="55"/>
        <v>-0.44747705055196418</v>
      </c>
    </row>
    <row r="895" spans="1:14" x14ac:dyDescent="0.35">
      <c r="A895">
        <v>893</v>
      </c>
      <c r="B895" t="s">
        <v>7</v>
      </c>
      <c r="C895" t="s">
        <v>54</v>
      </c>
      <c r="D895">
        <v>0.25</v>
      </c>
      <c r="E895">
        <v>0.75</v>
      </c>
      <c r="F895">
        <v>303.14999999999998</v>
      </c>
      <c r="G895">
        <v>411.9</v>
      </c>
      <c r="H895">
        <f t="shared" si="52"/>
        <v>-3.84</v>
      </c>
      <c r="I895">
        <v>2.1493601345089923E-2</v>
      </c>
      <c r="J895" t="str">
        <f t="shared" si="53"/>
        <v>C[N+](C)(C)CCO.[Cl-]CC(=O)CCC(=O)O</v>
      </c>
      <c r="K895">
        <v>86</v>
      </c>
      <c r="M895">
        <f t="shared" si="54"/>
        <v>-0.72967870461249518</v>
      </c>
      <c r="N895">
        <f t="shared" si="55"/>
        <v>-0.39098921599015823</v>
      </c>
    </row>
    <row r="896" spans="1:14" x14ac:dyDescent="0.35">
      <c r="A896">
        <v>894</v>
      </c>
      <c r="B896" t="s">
        <v>7</v>
      </c>
      <c r="C896" t="s">
        <v>54</v>
      </c>
      <c r="D896">
        <v>0.25</v>
      </c>
      <c r="E896">
        <v>0.75</v>
      </c>
      <c r="F896">
        <v>303.14999999999998</v>
      </c>
      <c r="G896">
        <v>510.9</v>
      </c>
      <c r="H896">
        <f t="shared" si="52"/>
        <v>-3.6119184129778081</v>
      </c>
      <c r="I896">
        <v>2.7E-2</v>
      </c>
      <c r="J896" t="str">
        <f t="shared" si="53"/>
        <v>C[N+](C)(C)CCO.[Cl-]CC(=O)CCC(=O)O</v>
      </c>
      <c r="K896">
        <v>86</v>
      </c>
      <c r="M896">
        <f t="shared" si="54"/>
        <v>-0.72967870461249518</v>
      </c>
      <c r="N896">
        <f t="shared" si="55"/>
        <v>-0.3356199524097741</v>
      </c>
    </row>
    <row r="897" spans="1:14" x14ac:dyDescent="0.35">
      <c r="A897">
        <v>895</v>
      </c>
      <c r="B897" t="s">
        <v>7</v>
      </c>
      <c r="C897" t="s">
        <v>54</v>
      </c>
      <c r="D897">
        <v>0.25</v>
      </c>
      <c r="E897">
        <v>0.75</v>
      </c>
      <c r="F897">
        <v>303.14999999999998</v>
      </c>
      <c r="G897">
        <v>570</v>
      </c>
      <c r="H897">
        <f t="shared" si="52"/>
        <v>-3.5</v>
      </c>
      <c r="I897">
        <v>3.0197383422318501E-2</v>
      </c>
      <c r="J897" t="str">
        <f t="shared" si="53"/>
        <v>C[N+](C)(C)CCO.[Cl-]CC(=O)CCC(=O)O</v>
      </c>
      <c r="K897">
        <v>86</v>
      </c>
      <c r="M897">
        <f t="shared" si="54"/>
        <v>-0.72967870461249518</v>
      </c>
      <c r="N897">
        <f t="shared" si="55"/>
        <v>-0.30256617990875689</v>
      </c>
    </row>
    <row r="898" spans="1:14" x14ac:dyDescent="0.35">
      <c r="A898">
        <v>896</v>
      </c>
      <c r="B898" t="s">
        <v>7</v>
      </c>
      <c r="C898" t="s">
        <v>54</v>
      </c>
      <c r="D898">
        <v>0.25</v>
      </c>
      <c r="E898">
        <v>0.75</v>
      </c>
      <c r="F898">
        <v>313.14999999999998</v>
      </c>
      <c r="G898">
        <v>69.8</v>
      </c>
      <c r="H898">
        <f t="shared" si="52"/>
        <v>-5.78</v>
      </c>
      <c r="I898">
        <v>3.0887154082367687E-3</v>
      </c>
      <c r="J898" t="str">
        <f t="shared" si="53"/>
        <v>C[N+](C)(C)CCO.[Cl-]CC(=O)CCC(=O)O</v>
      </c>
      <c r="K898">
        <v>86</v>
      </c>
      <c r="M898">
        <f t="shared" si="54"/>
        <v>5.4037971934950142E-2</v>
      </c>
      <c r="N898">
        <f t="shared" si="55"/>
        <v>-0.58232078236237439</v>
      </c>
    </row>
    <row r="899" spans="1:14" x14ac:dyDescent="0.35">
      <c r="A899">
        <v>897</v>
      </c>
      <c r="B899" t="s">
        <v>7</v>
      </c>
      <c r="C899" t="s">
        <v>54</v>
      </c>
      <c r="D899">
        <v>0.25</v>
      </c>
      <c r="E899">
        <v>0.75</v>
      </c>
      <c r="F899">
        <v>313.14999999999998</v>
      </c>
      <c r="G899">
        <v>202.5</v>
      </c>
      <c r="H899">
        <f t="shared" ref="H899:H962" si="56">LN(I899)</f>
        <v>-4.71</v>
      </c>
      <c r="I899">
        <v>9.0047775824365593E-3</v>
      </c>
      <c r="J899" t="str">
        <f t="shared" ref="J899:J962" si="57">_xlfn.CONCAT(B899,C899)</f>
        <v>C[N+](C)(C)CCO.[Cl-]CC(=O)CCC(=O)O</v>
      </c>
      <c r="K899">
        <v>86</v>
      </c>
      <c r="M899">
        <f t="shared" ref="M899:M962" si="58">(F899-$L$3)/$L$2</f>
        <v>5.4037971934950142E-2</v>
      </c>
      <c r="N899">
        <f t="shared" ref="N899:N962" si="59">(G899-$L$6)/$L$5</f>
        <v>-0.50810359774503122</v>
      </c>
    </row>
    <row r="900" spans="1:14" x14ac:dyDescent="0.35">
      <c r="A900">
        <v>898</v>
      </c>
      <c r="B900" t="s">
        <v>7</v>
      </c>
      <c r="C900" t="s">
        <v>54</v>
      </c>
      <c r="D900">
        <v>0.25</v>
      </c>
      <c r="E900">
        <v>0.75</v>
      </c>
      <c r="F900">
        <v>313.14999999999998</v>
      </c>
      <c r="G900">
        <v>306.8</v>
      </c>
      <c r="H900">
        <f t="shared" si="56"/>
        <v>-4.28</v>
      </c>
      <c r="I900">
        <v>1.3842662086479501E-2</v>
      </c>
      <c r="J900" t="str">
        <f t="shared" si="57"/>
        <v>C[N+](C)(C)CCO.[Cl-]CC(=O)CCC(=O)O</v>
      </c>
      <c r="K900">
        <v>86</v>
      </c>
      <c r="M900">
        <f t="shared" si="58"/>
        <v>5.4037971934950142E-2</v>
      </c>
      <c r="N900">
        <f t="shared" si="59"/>
        <v>-0.44977012106387915</v>
      </c>
    </row>
    <row r="901" spans="1:14" x14ac:dyDescent="0.35">
      <c r="A901">
        <v>899</v>
      </c>
      <c r="B901" t="s">
        <v>7</v>
      </c>
      <c r="C901" t="s">
        <v>54</v>
      </c>
      <c r="D901">
        <v>0.25</v>
      </c>
      <c r="E901">
        <v>0.75</v>
      </c>
      <c r="F901">
        <v>313.14999999999998</v>
      </c>
      <c r="G901">
        <v>410.9</v>
      </c>
      <c r="H901">
        <f t="shared" si="56"/>
        <v>-4.0063336848993876</v>
      </c>
      <c r="I901">
        <v>1.8200000000000001E-2</v>
      </c>
      <c r="J901" t="str">
        <f t="shared" si="57"/>
        <v>C[N+](C)(C)CCO.[Cl-]CC(=O)CCC(=O)O</v>
      </c>
      <c r="K901">
        <v>86</v>
      </c>
      <c r="M901">
        <f t="shared" si="58"/>
        <v>5.4037971934950142E-2</v>
      </c>
      <c r="N901">
        <f t="shared" si="59"/>
        <v>-0.39154850148086917</v>
      </c>
    </row>
    <row r="902" spans="1:14" x14ac:dyDescent="0.35">
      <c r="A902">
        <v>900</v>
      </c>
      <c r="B902" t="s">
        <v>7</v>
      </c>
      <c r="C902" t="s">
        <v>54</v>
      </c>
      <c r="D902">
        <v>0.25</v>
      </c>
      <c r="E902">
        <v>0.75</v>
      </c>
      <c r="F902">
        <v>313.14999999999998</v>
      </c>
      <c r="G902">
        <v>508.5</v>
      </c>
      <c r="H902">
        <f t="shared" si="56"/>
        <v>-3.78</v>
      </c>
      <c r="I902">
        <v>2.2822691425092981E-2</v>
      </c>
      <c r="J902" t="str">
        <f t="shared" si="57"/>
        <v>C[N+](C)(C)CCO.[Cl-]CC(=O)CCC(=O)O</v>
      </c>
      <c r="K902">
        <v>86</v>
      </c>
      <c r="M902">
        <f t="shared" si="58"/>
        <v>5.4037971934950142E-2</v>
      </c>
      <c r="N902">
        <f t="shared" si="59"/>
        <v>-0.3369622375874804</v>
      </c>
    </row>
    <row r="903" spans="1:14" x14ac:dyDescent="0.35">
      <c r="A903">
        <v>901</v>
      </c>
      <c r="B903" t="s">
        <v>7</v>
      </c>
      <c r="C903" t="s">
        <v>54</v>
      </c>
      <c r="D903">
        <v>0.25</v>
      </c>
      <c r="E903">
        <v>0.75</v>
      </c>
      <c r="F903">
        <v>313.14999999999998</v>
      </c>
      <c r="G903">
        <v>579.79999999999995</v>
      </c>
      <c r="H903">
        <f t="shared" si="56"/>
        <v>-3.6535123102766449</v>
      </c>
      <c r="I903">
        <v>2.5899999999999999E-2</v>
      </c>
      <c r="J903" t="str">
        <f t="shared" si="57"/>
        <v>C[N+](C)(C)CCO.[Cl-]CC(=O)CCC(=O)O</v>
      </c>
      <c r="K903">
        <v>86</v>
      </c>
      <c r="M903">
        <f t="shared" si="58"/>
        <v>5.4037971934950142E-2</v>
      </c>
      <c r="N903">
        <f t="shared" si="59"/>
        <v>-0.29708518209978962</v>
      </c>
    </row>
    <row r="904" spans="1:14" x14ac:dyDescent="0.35">
      <c r="A904">
        <v>902</v>
      </c>
      <c r="B904" t="s">
        <v>7</v>
      </c>
      <c r="C904" t="s">
        <v>54</v>
      </c>
      <c r="D904">
        <v>0.25</v>
      </c>
      <c r="E904">
        <v>0.75</v>
      </c>
      <c r="F904">
        <v>323.14999999999998</v>
      </c>
      <c r="G904">
        <v>80.8</v>
      </c>
      <c r="H904">
        <f t="shared" si="56"/>
        <v>-5.91</v>
      </c>
      <c r="I904">
        <v>2.7121868873866434E-3</v>
      </c>
      <c r="J904" t="str">
        <f t="shared" si="57"/>
        <v>C[N+](C)(C)CCO.[Cl-]CC(=O)CCC(=O)O</v>
      </c>
      <c r="K904">
        <v>86</v>
      </c>
      <c r="M904">
        <f t="shared" si="58"/>
        <v>0.83775464848239545</v>
      </c>
      <c r="N904">
        <f t="shared" si="59"/>
        <v>-0.57616864196455397</v>
      </c>
    </row>
    <row r="905" spans="1:14" x14ac:dyDescent="0.35">
      <c r="A905">
        <v>903</v>
      </c>
      <c r="B905" t="s">
        <v>7</v>
      </c>
      <c r="C905" t="s">
        <v>54</v>
      </c>
      <c r="D905">
        <v>0.25</v>
      </c>
      <c r="E905">
        <v>0.75</v>
      </c>
      <c r="F905">
        <v>323.14999999999998</v>
      </c>
      <c r="G905">
        <v>210</v>
      </c>
      <c r="H905">
        <f t="shared" si="56"/>
        <v>-4.8899999999999997</v>
      </c>
      <c r="I905">
        <v>7.5214224749932702E-3</v>
      </c>
      <c r="J905" t="str">
        <f t="shared" si="57"/>
        <v>C[N+](C)(C)CCO.[Cl-]CC(=O)CCC(=O)O</v>
      </c>
      <c r="K905">
        <v>86</v>
      </c>
      <c r="M905">
        <f t="shared" si="58"/>
        <v>0.83775464848239545</v>
      </c>
      <c r="N905">
        <f t="shared" si="59"/>
        <v>-0.50390895656469914</v>
      </c>
    </row>
    <row r="906" spans="1:14" x14ac:dyDescent="0.35">
      <c r="A906">
        <v>904</v>
      </c>
      <c r="B906" t="s">
        <v>7</v>
      </c>
      <c r="C906" t="s">
        <v>54</v>
      </c>
      <c r="D906">
        <v>0.25</v>
      </c>
      <c r="E906">
        <v>0.75</v>
      </c>
      <c r="F906">
        <v>323.14999999999998</v>
      </c>
      <c r="G906">
        <v>314</v>
      </c>
      <c r="H906">
        <f t="shared" si="56"/>
        <v>-4.4800000000000004</v>
      </c>
      <c r="I906">
        <v>1.1333413154667387E-2</v>
      </c>
      <c r="J906" t="str">
        <f t="shared" si="57"/>
        <v>C[N+](C)(C)CCO.[Cl-]CC(=O)CCC(=O)O</v>
      </c>
      <c r="K906">
        <v>86</v>
      </c>
      <c r="M906">
        <f t="shared" si="58"/>
        <v>0.83775464848239545</v>
      </c>
      <c r="N906">
        <f t="shared" si="59"/>
        <v>-0.44574326553076027</v>
      </c>
    </row>
    <row r="907" spans="1:14" x14ac:dyDescent="0.35">
      <c r="A907">
        <v>905</v>
      </c>
      <c r="B907" t="s">
        <v>7</v>
      </c>
      <c r="C907" t="s">
        <v>54</v>
      </c>
      <c r="D907">
        <v>0.25</v>
      </c>
      <c r="E907">
        <v>0.75</v>
      </c>
      <c r="F907">
        <v>323.14999999999998</v>
      </c>
      <c r="G907">
        <v>417.6</v>
      </c>
      <c r="H907">
        <f t="shared" si="56"/>
        <v>-4.2</v>
      </c>
      <c r="I907">
        <v>1.4995576820477703E-2</v>
      </c>
      <c r="J907" t="str">
        <f t="shared" si="57"/>
        <v>C[N+](C)(C)CCO.[Cl-]CC(=O)CCC(=O)O</v>
      </c>
      <c r="K907">
        <v>86</v>
      </c>
      <c r="M907">
        <f t="shared" si="58"/>
        <v>0.83775464848239545</v>
      </c>
      <c r="N907">
        <f t="shared" si="59"/>
        <v>-0.38780128869310576</v>
      </c>
    </row>
    <row r="908" spans="1:14" x14ac:dyDescent="0.35">
      <c r="A908">
        <v>906</v>
      </c>
      <c r="B908" t="s">
        <v>7</v>
      </c>
      <c r="C908" t="s">
        <v>54</v>
      </c>
      <c r="D908">
        <v>0.25</v>
      </c>
      <c r="E908">
        <v>0.75</v>
      </c>
      <c r="F908">
        <v>323.14999999999998</v>
      </c>
      <c r="G908">
        <v>517.79999999999995</v>
      </c>
      <c r="H908">
        <f t="shared" si="56"/>
        <v>-3.9845936982629815</v>
      </c>
      <c r="I908">
        <v>1.8599999999999998E-2</v>
      </c>
      <c r="J908" t="str">
        <f t="shared" si="57"/>
        <v>C[N+](C)(C)CCO.[Cl-]CC(=O)CCC(=O)O</v>
      </c>
      <c r="K908">
        <v>86</v>
      </c>
      <c r="M908">
        <f t="shared" si="58"/>
        <v>0.83775464848239545</v>
      </c>
      <c r="N908">
        <f t="shared" si="59"/>
        <v>-0.33176088252386854</v>
      </c>
    </row>
    <row r="909" spans="1:14" x14ac:dyDescent="0.35">
      <c r="A909">
        <v>907</v>
      </c>
      <c r="B909" t="s">
        <v>7</v>
      </c>
      <c r="C909" t="s">
        <v>54</v>
      </c>
      <c r="D909">
        <v>0.25</v>
      </c>
      <c r="E909">
        <v>0.75</v>
      </c>
      <c r="F909">
        <v>323.14999999999998</v>
      </c>
      <c r="G909">
        <v>579.70000000000005</v>
      </c>
      <c r="H909">
        <f t="shared" si="56"/>
        <v>-3.8728022922748648</v>
      </c>
      <c r="I909">
        <v>2.0799999999999999E-2</v>
      </c>
      <c r="J909" t="str">
        <f t="shared" si="57"/>
        <v>C[N+](C)(C)CCO.[Cl-]CC(=O)CCC(=O)O</v>
      </c>
      <c r="K909">
        <v>86</v>
      </c>
      <c r="M909">
        <f t="shared" si="58"/>
        <v>0.83775464848239545</v>
      </c>
      <c r="N909">
        <f t="shared" si="59"/>
        <v>-0.29714111064886067</v>
      </c>
    </row>
    <row r="910" spans="1:14" x14ac:dyDescent="0.35">
      <c r="A910">
        <v>908</v>
      </c>
      <c r="B910" t="s">
        <v>7</v>
      </c>
      <c r="C910" t="s">
        <v>54</v>
      </c>
      <c r="D910">
        <v>0.25</v>
      </c>
      <c r="E910">
        <v>0.75</v>
      </c>
      <c r="F910">
        <v>333.15</v>
      </c>
      <c r="G910">
        <v>85.9</v>
      </c>
      <c r="H910">
        <f t="shared" si="56"/>
        <v>-5.99</v>
      </c>
      <c r="I910">
        <v>2.5036640502020999E-3</v>
      </c>
      <c r="J910" t="str">
        <f t="shared" si="57"/>
        <v>C[N+](C)(C)CCO.[Cl-]CC(=O)CCC(=O)O</v>
      </c>
      <c r="K910">
        <v>86</v>
      </c>
      <c r="M910">
        <f t="shared" si="58"/>
        <v>1.6214713250298407</v>
      </c>
      <c r="N910">
        <f t="shared" si="59"/>
        <v>-0.57331628596192796</v>
      </c>
    </row>
    <row r="911" spans="1:14" x14ac:dyDescent="0.35">
      <c r="A911">
        <v>909</v>
      </c>
      <c r="B911" t="s">
        <v>7</v>
      </c>
      <c r="C911" t="s">
        <v>54</v>
      </c>
      <c r="D911">
        <v>0.25</v>
      </c>
      <c r="E911">
        <v>0.75</v>
      </c>
      <c r="F911">
        <v>333.15</v>
      </c>
      <c r="G911">
        <v>219.8</v>
      </c>
      <c r="H911">
        <f t="shared" si="56"/>
        <v>-5.0199999999999996</v>
      </c>
      <c r="I911">
        <v>6.6045267093148112E-3</v>
      </c>
      <c r="J911" t="str">
        <f t="shared" si="57"/>
        <v>C[N+](C)(C)CCO.[Cl-]CC(=O)CCC(=O)O</v>
      </c>
      <c r="K911">
        <v>86</v>
      </c>
      <c r="M911">
        <f t="shared" si="58"/>
        <v>1.6214713250298407</v>
      </c>
      <c r="N911">
        <f t="shared" si="59"/>
        <v>-0.49842795875573181</v>
      </c>
    </row>
    <row r="912" spans="1:14" x14ac:dyDescent="0.35">
      <c r="A912">
        <v>910</v>
      </c>
      <c r="B912" t="s">
        <v>7</v>
      </c>
      <c r="C912" t="s">
        <v>54</v>
      </c>
      <c r="D912">
        <v>0.25</v>
      </c>
      <c r="E912">
        <v>0.75</v>
      </c>
      <c r="F912">
        <v>333.15</v>
      </c>
      <c r="G912">
        <v>321.60000000000002</v>
      </c>
      <c r="H912">
        <f t="shared" si="56"/>
        <v>-4.59</v>
      </c>
      <c r="I912">
        <v>1.0152858373369763E-2</v>
      </c>
      <c r="J912" t="str">
        <f t="shared" si="57"/>
        <v>C[N+](C)(C)CCO.[Cl-]CC(=O)CCC(=O)O</v>
      </c>
      <c r="K912">
        <v>86</v>
      </c>
      <c r="M912">
        <f t="shared" si="58"/>
        <v>1.6214713250298407</v>
      </c>
      <c r="N912">
        <f t="shared" si="59"/>
        <v>-0.44149269580135703</v>
      </c>
    </row>
    <row r="913" spans="1:14" x14ac:dyDescent="0.35">
      <c r="A913">
        <v>911</v>
      </c>
      <c r="B913" t="s">
        <v>7</v>
      </c>
      <c r="C913" t="s">
        <v>54</v>
      </c>
      <c r="D913">
        <v>0.25</v>
      </c>
      <c r="E913">
        <v>0.75</v>
      </c>
      <c r="F913">
        <v>333.15</v>
      </c>
      <c r="G913">
        <v>425.2</v>
      </c>
      <c r="H913">
        <f t="shared" si="56"/>
        <v>-4.32</v>
      </c>
      <c r="I913">
        <v>1.3299883542443767E-2</v>
      </c>
      <c r="J913" t="str">
        <f t="shared" si="57"/>
        <v>C[N+](C)(C)CCO.[Cl-]CC(=O)CCC(=O)O</v>
      </c>
      <c r="K913">
        <v>86</v>
      </c>
      <c r="M913">
        <f t="shared" si="58"/>
        <v>1.6214713250298407</v>
      </c>
      <c r="N913">
        <f t="shared" si="59"/>
        <v>-0.38355071896370252</v>
      </c>
    </row>
    <row r="914" spans="1:14" x14ac:dyDescent="0.35">
      <c r="A914">
        <v>912</v>
      </c>
      <c r="B914" t="s">
        <v>7</v>
      </c>
      <c r="C914" t="s">
        <v>54</v>
      </c>
      <c r="D914">
        <v>0.25</v>
      </c>
      <c r="E914">
        <v>0.75</v>
      </c>
      <c r="F914">
        <v>333.15</v>
      </c>
      <c r="G914">
        <v>524.9</v>
      </c>
      <c r="H914">
        <f t="shared" si="56"/>
        <v>-4.1165901711694204</v>
      </c>
      <c r="I914">
        <v>1.6299999999999999E-2</v>
      </c>
      <c r="J914" t="str">
        <f t="shared" si="57"/>
        <v>C[N+](C)(C)CCO.[Cl-]CC(=O)CCC(=O)O</v>
      </c>
      <c r="K914">
        <v>86</v>
      </c>
      <c r="M914">
        <f t="shared" si="58"/>
        <v>1.6214713250298407</v>
      </c>
      <c r="N914">
        <f t="shared" si="59"/>
        <v>-0.32778995553982082</v>
      </c>
    </row>
    <row r="915" spans="1:14" x14ac:dyDescent="0.35">
      <c r="A915">
        <v>913</v>
      </c>
      <c r="B915" t="s">
        <v>7</v>
      </c>
      <c r="C915" t="s">
        <v>54</v>
      </c>
      <c r="D915">
        <v>0.25</v>
      </c>
      <c r="E915">
        <v>0.75</v>
      </c>
      <c r="F915">
        <v>333.15</v>
      </c>
      <c r="G915">
        <v>583</v>
      </c>
      <c r="H915">
        <f t="shared" si="56"/>
        <v>-4</v>
      </c>
      <c r="I915">
        <v>1.8315638888734179E-2</v>
      </c>
      <c r="J915" t="str">
        <f t="shared" si="57"/>
        <v>C[N+](C)(C)CCO.[Cl-]CC(=O)CCC(=O)O</v>
      </c>
      <c r="K915">
        <v>86</v>
      </c>
      <c r="M915">
        <f t="shared" si="58"/>
        <v>1.6214713250298407</v>
      </c>
      <c r="N915">
        <f t="shared" si="59"/>
        <v>-0.29529546852951455</v>
      </c>
    </row>
    <row r="916" spans="1:14" x14ac:dyDescent="0.35">
      <c r="A916">
        <v>914</v>
      </c>
      <c r="B916" t="s">
        <v>7</v>
      </c>
      <c r="C916" t="s">
        <v>58</v>
      </c>
      <c r="D916">
        <v>0.25</v>
      </c>
      <c r="E916">
        <v>0.75</v>
      </c>
      <c r="F916">
        <v>293.14999999999998</v>
      </c>
      <c r="G916">
        <v>104.4</v>
      </c>
      <c r="H916">
        <f t="shared" si="56"/>
        <v>-5.45</v>
      </c>
      <c r="I916">
        <v>4.2963046907523398E-3</v>
      </c>
      <c r="J916" t="str">
        <f t="shared" si="57"/>
        <v>C[N+](C)(C)CCO.[Cl-]C1=CC=C(C=C1)O</v>
      </c>
      <c r="K916">
        <v>84</v>
      </c>
      <c r="M916">
        <f t="shared" si="58"/>
        <v>-1.5133953811599403</v>
      </c>
      <c r="N916">
        <f t="shared" si="59"/>
        <v>-0.56296950438377547</v>
      </c>
    </row>
    <row r="917" spans="1:14" x14ac:dyDescent="0.35">
      <c r="A917">
        <v>915</v>
      </c>
      <c r="B917" t="s">
        <v>7</v>
      </c>
      <c r="C917" t="s">
        <v>58</v>
      </c>
      <c r="D917">
        <v>0.25</v>
      </c>
      <c r="E917">
        <v>0.75</v>
      </c>
      <c r="F917">
        <v>293.14999999999998</v>
      </c>
      <c r="G917">
        <v>206.3</v>
      </c>
      <c r="H917">
        <f t="shared" si="56"/>
        <v>-4.76</v>
      </c>
      <c r="I917">
        <v>8.5656093974980606E-3</v>
      </c>
      <c r="J917" t="str">
        <f t="shared" si="57"/>
        <v>C[N+](C)(C)CCO.[Cl-]C1=CC=C(C=C1)O</v>
      </c>
      <c r="K917">
        <v>84</v>
      </c>
      <c r="M917">
        <f t="shared" si="58"/>
        <v>-1.5133953811599403</v>
      </c>
      <c r="N917">
        <f t="shared" si="59"/>
        <v>-0.50597831288032968</v>
      </c>
    </row>
    <row r="918" spans="1:14" x14ac:dyDescent="0.35">
      <c r="A918">
        <v>916</v>
      </c>
      <c r="B918" t="s">
        <v>7</v>
      </c>
      <c r="C918" t="s">
        <v>58</v>
      </c>
      <c r="D918">
        <v>0.25</v>
      </c>
      <c r="E918">
        <v>0.75</v>
      </c>
      <c r="F918">
        <v>293.14999999999998</v>
      </c>
      <c r="G918">
        <v>307.7</v>
      </c>
      <c r="H918">
        <f t="shared" si="56"/>
        <v>-4.3600000000000003</v>
      </c>
      <c r="I918">
        <v>1.2778387649535761E-2</v>
      </c>
      <c r="J918" t="str">
        <f t="shared" si="57"/>
        <v>C[N+](C)(C)CCO.[Cl-]C1=CC=C(C=C1)O</v>
      </c>
      <c r="K918">
        <v>84</v>
      </c>
      <c r="M918">
        <f t="shared" si="58"/>
        <v>-1.5133953811599403</v>
      </c>
      <c r="N918">
        <f t="shared" si="59"/>
        <v>-0.4492667641222392</v>
      </c>
    </row>
    <row r="919" spans="1:14" x14ac:dyDescent="0.35">
      <c r="A919">
        <v>917</v>
      </c>
      <c r="B919" t="s">
        <v>7</v>
      </c>
      <c r="C919" t="s">
        <v>58</v>
      </c>
      <c r="D919">
        <v>0.25</v>
      </c>
      <c r="E919">
        <v>0.75</v>
      </c>
      <c r="F919">
        <v>293.14999999999998</v>
      </c>
      <c r="G919">
        <v>406.2</v>
      </c>
      <c r="H919">
        <f t="shared" si="56"/>
        <v>-4.1100000000000003</v>
      </c>
      <c r="I919">
        <v>1.6407774526292645E-2</v>
      </c>
      <c r="J919" t="str">
        <f t="shared" si="57"/>
        <v>C[N+](C)(C)CCO.[Cl-]C1=CC=C(C=C1)O</v>
      </c>
      <c r="K919">
        <v>84</v>
      </c>
      <c r="M919">
        <f t="shared" si="58"/>
        <v>-1.5133953811599403</v>
      </c>
      <c r="N919">
        <f t="shared" si="59"/>
        <v>-0.3941771432872106</v>
      </c>
    </row>
    <row r="920" spans="1:14" x14ac:dyDescent="0.35">
      <c r="A920">
        <v>918</v>
      </c>
      <c r="B920" t="s">
        <v>7</v>
      </c>
      <c r="C920" t="s">
        <v>58</v>
      </c>
      <c r="D920">
        <v>0.25</v>
      </c>
      <c r="E920">
        <v>0.75</v>
      </c>
      <c r="F920">
        <v>293.14999999999998</v>
      </c>
      <c r="G920">
        <v>508.5</v>
      </c>
      <c r="H920">
        <f t="shared" si="56"/>
        <v>-3.8537540973041704</v>
      </c>
      <c r="I920">
        <v>2.12E-2</v>
      </c>
      <c r="J920" t="str">
        <f t="shared" si="57"/>
        <v>C[N+](C)(C)CCO.[Cl-]C1=CC=C(C=C1)O</v>
      </c>
      <c r="K920">
        <v>84</v>
      </c>
      <c r="M920">
        <f t="shared" si="58"/>
        <v>-1.5133953811599403</v>
      </c>
      <c r="N920">
        <f t="shared" si="59"/>
        <v>-0.3369622375874804</v>
      </c>
    </row>
    <row r="921" spans="1:14" x14ac:dyDescent="0.35">
      <c r="A921">
        <v>919</v>
      </c>
      <c r="B921" t="s">
        <v>7</v>
      </c>
      <c r="C921" t="s">
        <v>58</v>
      </c>
      <c r="D921">
        <v>0.25</v>
      </c>
      <c r="E921">
        <v>0.75</v>
      </c>
      <c r="F921">
        <v>303.14999999999998</v>
      </c>
      <c r="G921">
        <v>113.1</v>
      </c>
      <c r="H921">
        <f t="shared" si="56"/>
        <v>-5.66</v>
      </c>
      <c r="I921">
        <v>3.4825168982116632E-3</v>
      </c>
      <c r="J921" t="str">
        <f t="shared" si="57"/>
        <v>C[N+](C)(C)CCO.[Cl-]C1=CC=C(C=C1)O</v>
      </c>
      <c r="K921">
        <v>84</v>
      </c>
      <c r="M921">
        <f t="shared" si="58"/>
        <v>-0.72967870461249518</v>
      </c>
      <c r="N921">
        <f t="shared" si="59"/>
        <v>-0.55810372061459024</v>
      </c>
    </row>
    <row r="922" spans="1:14" x14ac:dyDescent="0.35">
      <c r="A922">
        <v>920</v>
      </c>
      <c r="B922" t="s">
        <v>7</v>
      </c>
      <c r="C922" t="s">
        <v>58</v>
      </c>
      <c r="D922">
        <v>0.25</v>
      </c>
      <c r="E922">
        <v>0.75</v>
      </c>
      <c r="F922">
        <v>303.14999999999998</v>
      </c>
      <c r="G922">
        <v>217.6</v>
      </c>
      <c r="H922">
        <f t="shared" si="56"/>
        <v>-4.99</v>
      </c>
      <c r="I922">
        <v>6.8056644922305431E-3</v>
      </c>
      <c r="J922" t="str">
        <f t="shared" si="57"/>
        <v>C[N+](C)(C)CCO.[Cl-]C1=CC=C(C=C1)O</v>
      </c>
      <c r="K922">
        <v>84</v>
      </c>
      <c r="M922">
        <f t="shared" si="58"/>
        <v>-0.72967870461249518</v>
      </c>
      <c r="N922">
        <f t="shared" si="59"/>
        <v>-0.49965838683529584</v>
      </c>
    </row>
    <row r="923" spans="1:14" x14ac:dyDescent="0.35">
      <c r="A923">
        <v>921</v>
      </c>
      <c r="B923" t="s">
        <v>7</v>
      </c>
      <c r="C923" t="s">
        <v>58</v>
      </c>
      <c r="D923">
        <v>0.25</v>
      </c>
      <c r="E923">
        <v>0.75</v>
      </c>
      <c r="F923">
        <v>303.14999999999998</v>
      </c>
      <c r="G923">
        <v>316.3</v>
      </c>
      <c r="H923">
        <f t="shared" si="56"/>
        <v>-4.58</v>
      </c>
      <c r="I923">
        <v>1.0254896296404022E-2</v>
      </c>
      <c r="J923" t="str">
        <f t="shared" si="57"/>
        <v>C[N+](C)(C)CCO.[Cl-]C1=CC=C(C=C1)O</v>
      </c>
      <c r="K923">
        <v>84</v>
      </c>
      <c r="M923">
        <f t="shared" si="58"/>
        <v>-0.72967870461249518</v>
      </c>
      <c r="N923">
        <f t="shared" si="59"/>
        <v>-0.44445690890212508</v>
      </c>
    </row>
    <row r="924" spans="1:14" x14ac:dyDescent="0.35">
      <c r="A924">
        <v>922</v>
      </c>
      <c r="B924" t="s">
        <v>7</v>
      </c>
      <c r="C924" t="s">
        <v>58</v>
      </c>
      <c r="D924">
        <v>0.25</v>
      </c>
      <c r="E924">
        <v>0.75</v>
      </c>
      <c r="F924">
        <v>303.14999999999998</v>
      </c>
      <c r="G924">
        <v>418.3</v>
      </c>
      <c r="H924">
        <f t="shared" si="56"/>
        <v>-4.2758664388454912</v>
      </c>
      <c r="I924">
        <v>1.3899999999999999E-2</v>
      </c>
      <c r="J924" t="str">
        <f t="shared" si="57"/>
        <v>C[N+](C)(C)CCO.[Cl-]C1=CC=C(C=C1)O</v>
      </c>
      <c r="K924">
        <v>84</v>
      </c>
      <c r="M924">
        <f t="shared" si="58"/>
        <v>-0.72967870461249518</v>
      </c>
      <c r="N924">
        <f t="shared" si="59"/>
        <v>-0.38740978884960814</v>
      </c>
    </row>
    <row r="925" spans="1:14" x14ac:dyDescent="0.35">
      <c r="A925">
        <v>923</v>
      </c>
      <c r="B925" t="s">
        <v>7</v>
      </c>
      <c r="C925" t="s">
        <v>58</v>
      </c>
      <c r="D925">
        <v>0.25</v>
      </c>
      <c r="E925">
        <v>0.75</v>
      </c>
      <c r="F925">
        <v>303.14999999999998</v>
      </c>
      <c r="G925">
        <v>514.20000000000005</v>
      </c>
      <c r="H925">
        <f t="shared" si="56"/>
        <v>-4.0341906394023539</v>
      </c>
      <c r="I925">
        <v>1.77E-2</v>
      </c>
      <c r="J925" t="str">
        <f t="shared" si="57"/>
        <v>C[N+](C)(C)CCO.[Cl-]C1=CC=C(C=C1)O</v>
      </c>
      <c r="K925">
        <v>84</v>
      </c>
      <c r="M925">
        <f t="shared" si="58"/>
        <v>-0.72967870461249518</v>
      </c>
      <c r="N925">
        <f t="shared" si="59"/>
        <v>-0.33377431029042792</v>
      </c>
    </row>
    <row r="926" spans="1:14" x14ac:dyDescent="0.35">
      <c r="A926">
        <v>924</v>
      </c>
      <c r="B926" t="s">
        <v>7</v>
      </c>
      <c r="C926" t="s">
        <v>58</v>
      </c>
      <c r="D926">
        <v>0.25</v>
      </c>
      <c r="E926">
        <v>0.75</v>
      </c>
      <c r="F926">
        <v>313.14999999999998</v>
      </c>
      <c r="G926">
        <v>116</v>
      </c>
      <c r="H926">
        <f t="shared" si="56"/>
        <v>-5.74</v>
      </c>
      <c r="I926">
        <v>3.21476827530687E-3</v>
      </c>
      <c r="J926" t="str">
        <f t="shared" si="57"/>
        <v>C[N+](C)(C)CCO.[Cl-]C1=CC=C(C=C1)O</v>
      </c>
      <c r="K926">
        <v>84</v>
      </c>
      <c r="M926">
        <f t="shared" si="58"/>
        <v>5.4037971934950142E-2</v>
      </c>
      <c r="N926">
        <f t="shared" si="59"/>
        <v>-0.55648179269152842</v>
      </c>
    </row>
    <row r="927" spans="1:14" x14ac:dyDescent="0.35">
      <c r="A927">
        <v>925</v>
      </c>
      <c r="B927" t="s">
        <v>7</v>
      </c>
      <c r="C927" t="s">
        <v>58</v>
      </c>
      <c r="D927">
        <v>0.25</v>
      </c>
      <c r="E927">
        <v>0.75</v>
      </c>
      <c r="F927">
        <v>313.14999999999998</v>
      </c>
      <c r="G927">
        <v>218.1</v>
      </c>
      <c r="H927">
        <f t="shared" si="56"/>
        <v>-5.05</v>
      </c>
      <c r="I927">
        <v>6.4093334462563831E-3</v>
      </c>
      <c r="J927" t="str">
        <f t="shared" si="57"/>
        <v>C[N+](C)(C)CCO.[Cl-]C1=CC=C(C=C1)O</v>
      </c>
      <c r="K927">
        <v>84</v>
      </c>
      <c r="M927">
        <f t="shared" si="58"/>
        <v>5.4037971934950142E-2</v>
      </c>
      <c r="N927">
        <f t="shared" si="59"/>
        <v>-0.49937874408994037</v>
      </c>
    </row>
    <row r="928" spans="1:14" x14ac:dyDescent="0.35">
      <c r="A928">
        <v>926</v>
      </c>
      <c r="B928" t="s">
        <v>7</v>
      </c>
      <c r="C928" t="s">
        <v>58</v>
      </c>
      <c r="D928">
        <v>0.25</v>
      </c>
      <c r="E928">
        <v>0.75</v>
      </c>
      <c r="F928">
        <v>313.14999999999998</v>
      </c>
      <c r="G928">
        <v>317.3</v>
      </c>
      <c r="H928">
        <f t="shared" si="56"/>
        <v>-4.66</v>
      </c>
      <c r="I928">
        <v>9.4664624017103231E-3</v>
      </c>
      <c r="J928" t="str">
        <f t="shared" si="57"/>
        <v>C[N+](C)(C)CCO.[Cl-]C1=CC=C(C=C1)O</v>
      </c>
      <c r="K928">
        <v>84</v>
      </c>
      <c r="M928">
        <f t="shared" si="58"/>
        <v>5.4037971934950142E-2</v>
      </c>
      <c r="N928">
        <f t="shared" si="59"/>
        <v>-0.44389762341141414</v>
      </c>
    </row>
    <row r="929" spans="1:14" x14ac:dyDescent="0.35">
      <c r="A929">
        <v>927</v>
      </c>
      <c r="B929" t="s">
        <v>7</v>
      </c>
      <c r="C929" t="s">
        <v>58</v>
      </c>
      <c r="D929">
        <v>0.25</v>
      </c>
      <c r="E929">
        <v>0.75</v>
      </c>
      <c r="F929">
        <v>313.14999999999998</v>
      </c>
      <c r="G929">
        <v>411.5</v>
      </c>
      <c r="H929">
        <f t="shared" si="56"/>
        <v>-4.3899999999999997</v>
      </c>
      <c r="I929">
        <v>1.2400729220443406E-2</v>
      </c>
      <c r="J929" t="str">
        <f t="shared" si="57"/>
        <v>C[N+](C)(C)CCO.[Cl-]C1=CC=C(C=C1)O</v>
      </c>
      <c r="K929">
        <v>84</v>
      </c>
      <c r="M929">
        <f t="shared" si="58"/>
        <v>5.4037971934950142E-2</v>
      </c>
      <c r="N929">
        <f t="shared" si="59"/>
        <v>-0.3912129301864426</v>
      </c>
    </row>
    <row r="930" spans="1:14" x14ac:dyDescent="0.35">
      <c r="A930">
        <v>928</v>
      </c>
      <c r="B930" t="s">
        <v>7</v>
      </c>
      <c r="C930" t="s">
        <v>58</v>
      </c>
      <c r="D930">
        <v>0.25</v>
      </c>
      <c r="E930">
        <v>0.75</v>
      </c>
      <c r="F930">
        <v>313.14999999999998</v>
      </c>
      <c r="G930">
        <v>506.8</v>
      </c>
      <c r="H930">
        <f t="shared" si="56"/>
        <v>-4.16</v>
      </c>
      <c r="I930">
        <v>1.5607557919982831E-2</v>
      </c>
      <c r="J930" t="str">
        <f t="shared" si="57"/>
        <v>C[N+](C)(C)CCO.[Cl-]C1=CC=C(C=C1)O</v>
      </c>
      <c r="K930">
        <v>84</v>
      </c>
      <c r="M930">
        <f t="shared" si="58"/>
        <v>5.4037971934950142E-2</v>
      </c>
      <c r="N930">
        <f t="shared" si="59"/>
        <v>-0.33791302292168901</v>
      </c>
    </row>
    <row r="931" spans="1:14" x14ac:dyDescent="0.35">
      <c r="A931">
        <v>929</v>
      </c>
      <c r="B931" t="s">
        <v>7</v>
      </c>
      <c r="C931" t="s">
        <v>58</v>
      </c>
      <c r="D931">
        <v>0.25</v>
      </c>
      <c r="E931">
        <v>0.75</v>
      </c>
      <c r="F931">
        <v>323.14999999999998</v>
      </c>
      <c r="G931">
        <v>123.4</v>
      </c>
      <c r="H931">
        <f t="shared" si="56"/>
        <v>-5.84</v>
      </c>
      <c r="I931">
        <v>2.9088426258125841E-3</v>
      </c>
      <c r="J931" t="str">
        <f t="shared" si="57"/>
        <v>C[N+](C)(C)CCO.[Cl-]C1=CC=C(C=C1)O</v>
      </c>
      <c r="K931">
        <v>84</v>
      </c>
      <c r="M931">
        <f t="shared" si="58"/>
        <v>0.83775464848239545</v>
      </c>
      <c r="N931">
        <f t="shared" si="59"/>
        <v>-0.55234308006026744</v>
      </c>
    </row>
    <row r="932" spans="1:14" x14ac:dyDescent="0.35">
      <c r="A932">
        <v>930</v>
      </c>
      <c r="B932" t="s">
        <v>7</v>
      </c>
      <c r="C932" t="s">
        <v>58</v>
      </c>
      <c r="D932">
        <v>0.25</v>
      </c>
      <c r="E932">
        <v>0.75</v>
      </c>
      <c r="F932">
        <v>323.14999999999998</v>
      </c>
      <c r="G932">
        <v>218.1</v>
      </c>
      <c r="H932">
        <f t="shared" si="56"/>
        <v>-5.22</v>
      </c>
      <c r="I932">
        <v>5.4073291264409599E-3</v>
      </c>
      <c r="J932" t="str">
        <f t="shared" si="57"/>
        <v>C[N+](C)(C)CCO.[Cl-]C1=CC=C(C=C1)O</v>
      </c>
      <c r="K932">
        <v>84</v>
      </c>
      <c r="M932">
        <f t="shared" si="58"/>
        <v>0.83775464848239545</v>
      </c>
      <c r="N932">
        <f t="shared" si="59"/>
        <v>-0.49937874408994037</v>
      </c>
    </row>
    <row r="933" spans="1:14" x14ac:dyDescent="0.35">
      <c r="A933">
        <v>931</v>
      </c>
      <c r="B933" t="s">
        <v>7</v>
      </c>
      <c r="C933" t="s">
        <v>58</v>
      </c>
      <c r="D933">
        <v>0.25</v>
      </c>
      <c r="E933">
        <v>0.75</v>
      </c>
      <c r="F933">
        <v>323.14999999999998</v>
      </c>
      <c r="G933">
        <v>318.2</v>
      </c>
      <c r="H933">
        <f t="shared" si="56"/>
        <v>-4.84</v>
      </c>
      <c r="I933">
        <v>7.9070540515934415E-3</v>
      </c>
      <c r="J933" t="str">
        <f t="shared" si="57"/>
        <v>C[N+](C)(C)CCO.[Cl-]C1=CC=C(C=C1)O</v>
      </c>
      <c r="K933">
        <v>84</v>
      </c>
      <c r="M933">
        <f t="shared" si="58"/>
        <v>0.83775464848239545</v>
      </c>
      <c r="N933">
        <f t="shared" si="59"/>
        <v>-0.44339426646977426</v>
      </c>
    </row>
    <row r="934" spans="1:14" x14ac:dyDescent="0.35">
      <c r="A934">
        <v>932</v>
      </c>
      <c r="B934" t="s">
        <v>7</v>
      </c>
      <c r="C934" t="s">
        <v>58</v>
      </c>
      <c r="D934">
        <v>0.25</v>
      </c>
      <c r="E934">
        <v>0.75</v>
      </c>
      <c r="F934">
        <v>323.14999999999998</v>
      </c>
      <c r="G934">
        <v>412.5</v>
      </c>
      <c r="H934">
        <f t="shared" si="56"/>
        <v>-4.55</v>
      </c>
      <c r="I934">
        <v>1.0567204383852655E-2</v>
      </c>
      <c r="J934" t="str">
        <f t="shared" si="57"/>
        <v>C[N+](C)(C)CCO.[Cl-]C1=CC=C(C=C1)O</v>
      </c>
      <c r="K934">
        <v>84</v>
      </c>
      <c r="M934">
        <f t="shared" si="58"/>
        <v>0.83775464848239545</v>
      </c>
      <c r="N934">
        <f t="shared" si="59"/>
        <v>-0.39065364469573161</v>
      </c>
    </row>
    <row r="935" spans="1:14" x14ac:dyDescent="0.35">
      <c r="A935">
        <v>933</v>
      </c>
      <c r="B935" t="s">
        <v>7</v>
      </c>
      <c r="C935" t="s">
        <v>58</v>
      </c>
      <c r="D935">
        <v>0.25</v>
      </c>
      <c r="E935">
        <v>0.75</v>
      </c>
      <c r="F935">
        <v>323.14999999999998</v>
      </c>
      <c r="G935">
        <v>513.6</v>
      </c>
      <c r="H935">
        <f t="shared" si="56"/>
        <v>-4.32</v>
      </c>
      <c r="I935">
        <v>1.3299883542443767E-2</v>
      </c>
      <c r="J935" t="str">
        <f t="shared" si="57"/>
        <v>C[N+](C)(C)CCO.[Cl-]C1=CC=C(C=C1)O</v>
      </c>
      <c r="K935">
        <v>84</v>
      </c>
      <c r="M935">
        <f t="shared" si="58"/>
        <v>0.83775464848239545</v>
      </c>
      <c r="N935">
        <f t="shared" si="59"/>
        <v>-0.3341098815848545</v>
      </c>
    </row>
    <row r="936" spans="1:14" x14ac:dyDescent="0.35">
      <c r="A936">
        <v>934</v>
      </c>
      <c r="B936" t="s">
        <v>7</v>
      </c>
      <c r="C936" t="s">
        <v>60</v>
      </c>
      <c r="D936">
        <v>0.25</v>
      </c>
      <c r="E936">
        <v>0.75</v>
      </c>
      <c r="F936">
        <v>293.14999999999998</v>
      </c>
      <c r="G936">
        <v>109.3</v>
      </c>
      <c r="H936">
        <f t="shared" si="56"/>
        <v>-5.26</v>
      </c>
      <c r="I936">
        <v>5.1953047187052312E-3</v>
      </c>
      <c r="J936" t="str">
        <f t="shared" si="57"/>
        <v>C[N+](C)(C)CCO.[Cl-]C(COCCOCCO)O</v>
      </c>
      <c r="K936">
        <v>83</v>
      </c>
      <c r="M936">
        <f t="shared" si="58"/>
        <v>-1.5133953811599403</v>
      </c>
      <c r="N936">
        <f t="shared" si="59"/>
        <v>-0.56022900547929189</v>
      </c>
    </row>
    <row r="937" spans="1:14" x14ac:dyDescent="0.35">
      <c r="A937">
        <v>935</v>
      </c>
      <c r="B937" t="s">
        <v>7</v>
      </c>
      <c r="C937" t="s">
        <v>60</v>
      </c>
      <c r="D937">
        <v>0.25</v>
      </c>
      <c r="E937">
        <v>0.75</v>
      </c>
      <c r="F937">
        <v>293.14999999999998</v>
      </c>
      <c r="G937">
        <v>208.6</v>
      </c>
      <c r="H937">
        <f t="shared" si="56"/>
        <v>-4.53</v>
      </c>
      <c r="I937">
        <v>1.0780676072743084E-2</v>
      </c>
      <c r="J937" t="str">
        <f t="shared" si="57"/>
        <v>C[N+](C)(C)CCO.[Cl-]C(COCCOCCO)O</v>
      </c>
      <c r="K937">
        <v>83</v>
      </c>
      <c r="M937">
        <f t="shared" si="58"/>
        <v>-1.5133953811599403</v>
      </c>
      <c r="N937">
        <f t="shared" si="59"/>
        <v>-0.50469195625169438</v>
      </c>
    </row>
    <row r="938" spans="1:14" x14ac:dyDescent="0.35">
      <c r="A938">
        <v>936</v>
      </c>
      <c r="B938" t="s">
        <v>7</v>
      </c>
      <c r="C938" t="s">
        <v>60</v>
      </c>
      <c r="D938">
        <v>0.25</v>
      </c>
      <c r="E938">
        <v>0.75</v>
      </c>
      <c r="F938">
        <v>293.14999999999998</v>
      </c>
      <c r="G938">
        <v>315.89999999999998</v>
      </c>
      <c r="H938">
        <f t="shared" si="56"/>
        <v>-4.0999999999999996</v>
      </c>
      <c r="I938">
        <v>1.6572675401761255E-2</v>
      </c>
      <c r="J938" t="str">
        <f t="shared" si="57"/>
        <v>C[N+](C)(C)CCO.[Cl-]C(COCCOCCO)O</v>
      </c>
      <c r="K938">
        <v>83</v>
      </c>
      <c r="M938">
        <f t="shared" si="58"/>
        <v>-1.5133953811599403</v>
      </c>
      <c r="N938">
        <f t="shared" si="59"/>
        <v>-0.44468062309840944</v>
      </c>
    </row>
    <row r="939" spans="1:14" x14ac:dyDescent="0.35">
      <c r="A939">
        <v>937</v>
      </c>
      <c r="B939" t="s">
        <v>7</v>
      </c>
      <c r="C939" t="s">
        <v>60</v>
      </c>
      <c r="D939">
        <v>0.25</v>
      </c>
      <c r="E939">
        <v>0.75</v>
      </c>
      <c r="F939">
        <v>293.14999999999998</v>
      </c>
      <c r="G939">
        <v>403.3</v>
      </c>
      <c r="H939">
        <f t="shared" si="56"/>
        <v>-3.85</v>
      </c>
      <c r="I939">
        <v>2.1279736438377168E-2</v>
      </c>
      <c r="J939" t="str">
        <f t="shared" si="57"/>
        <v>C[N+](C)(C)CCO.[Cl-]C(COCCOCCO)O</v>
      </c>
      <c r="K939">
        <v>83</v>
      </c>
      <c r="M939">
        <f t="shared" si="58"/>
        <v>-1.5133953811599403</v>
      </c>
      <c r="N939">
        <f t="shared" si="59"/>
        <v>-0.39579907121027241</v>
      </c>
    </row>
    <row r="940" spans="1:14" x14ac:dyDescent="0.35">
      <c r="A940">
        <v>938</v>
      </c>
      <c r="B940" t="s">
        <v>7</v>
      </c>
      <c r="C940" t="s">
        <v>60</v>
      </c>
      <c r="D940">
        <v>0.25</v>
      </c>
      <c r="E940">
        <v>0.75</v>
      </c>
      <c r="F940">
        <v>293.14999999999998</v>
      </c>
      <c r="G940">
        <v>504</v>
      </c>
      <c r="H940">
        <f t="shared" si="56"/>
        <v>-3.5972122655881127</v>
      </c>
      <c r="I940">
        <v>2.7400000000000001E-2</v>
      </c>
      <c r="J940" t="str">
        <f t="shared" si="57"/>
        <v>C[N+](C)(C)CCO.[Cl-]C(COCCOCCO)O</v>
      </c>
      <c r="K940">
        <v>83</v>
      </c>
      <c r="M940">
        <f t="shared" si="58"/>
        <v>-1.5133953811599403</v>
      </c>
      <c r="N940">
        <f t="shared" si="59"/>
        <v>-0.33947902229567967</v>
      </c>
    </row>
    <row r="941" spans="1:14" x14ac:dyDescent="0.35">
      <c r="A941">
        <v>939</v>
      </c>
      <c r="B941" t="s">
        <v>7</v>
      </c>
      <c r="C941" t="s">
        <v>60</v>
      </c>
      <c r="D941">
        <v>0.25</v>
      </c>
      <c r="E941">
        <v>0.75</v>
      </c>
      <c r="F941">
        <v>303.14999999999998</v>
      </c>
      <c r="G941">
        <v>119.3</v>
      </c>
      <c r="H941">
        <f t="shared" si="56"/>
        <v>-5.36</v>
      </c>
      <c r="I941">
        <v>4.700906107583276E-3</v>
      </c>
      <c r="J941" t="str">
        <f t="shared" si="57"/>
        <v>C[N+](C)(C)CCO.[Cl-]C(COCCOCCO)O</v>
      </c>
      <c r="K941">
        <v>83</v>
      </c>
      <c r="M941">
        <f t="shared" si="58"/>
        <v>-0.72967870461249518</v>
      </c>
      <c r="N941">
        <f t="shared" si="59"/>
        <v>-0.5546361505721823</v>
      </c>
    </row>
    <row r="942" spans="1:14" x14ac:dyDescent="0.35">
      <c r="A942">
        <v>940</v>
      </c>
      <c r="B942" t="s">
        <v>7</v>
      </c>
      <c r="C942" t="s">
        <v>60</v>
      </c>
      <c r="D942">
        <v>0.25</v>
      </c>
      <c r="E942">
        <v>0.75</v>
      </c>
      <c r="F942">
        <v>303.14999999999998</v>
      </c>
      <c r="G942">
        <v>212.9</v>
      </c>
      <c r="H942">
        <f t="shared" si="56"/>
        <v>-4.72</v>
      </c>
      <c r="I942">
        <v>8.9151785484395535E-3</v>
      </c>
      <c r="J942" t="str">
        <f t="shared" si="57"/>
        <v>C[N+](C)(C)CCO.[Cl-]C(COCCOCCO)O</v>
      </c>
      <c r="K942">
        <v>83</v>
      </c>
      <c r="M942">
        <f t="shared" si="58"/>
        <v>-0.72967870461249518</v>
      </c>
      <c r="N942">
        <f t="shared" si="59"/>
        <v>-0.50228702864163732</v>
      </c>
    </row>
    <row r="943" spans="1:14" x14ac:dyDescent="0.35">
      <c r="A943">
        <v>941</v>
      </c>
      <c r="B943" t="s">
        <v>7</v>
      </c>
      <c r="C943" t="s">
        <v>60</v>
      </c>
      <c r="D943">
        <v>0.25</v>
      </c>
      <c r="E943">
        <v>0.75</v>
      </c>
      <c r="F943">
        <v>303.14999999999998</v>
      </c>
      <c r="G943">
        <v>319.39999999999998</v>
      </c>
      <c r="H943">
        <f t="shared" si="56"/>
        <v>-4.28</v>
      </c>
      <c r="I943">
        <v>1.3842662086479501E-2</v>
      </c>
      <c r="J943" t="str">
        <f t="shared" si="57"/>
        <v>C[N+](C)(C)CCO.[Cl-]C(COCCOCCO)O</v>
      </c>
      <c r="K943">
        <v>83</v>
      </c>
      <c r="M943">
        <f t="shared" si="58"/>
        <v>-0.72967870461249518</v>
      </c>
      <c r="N943">
        <f t="shared" si="59"/>
        <v>-0.44272312388092111</v>
      </c>
    </row>
    <row r="944" spans="1:14" x14ac:dyDescent="0.35">
      <c r="A944">
        <v>942</v>
      </c>
      <c r="B944" t="s">
        <v>7</v>
      </c>
      <c r="C944" t="s">
        <v>60</v>
      </c>
      <c r="D944">
        <v>0.25</v>
      </c>
      <c r="E944">
        <v>0.75</v>
      </c>
      <c r="F944">
        <v>303.14999999999998</v>
      </c>
      <c r="G944">
        <v>416.7</v>
      </c>
      <c r="H944">
        <f t="shared" si="56"/>
        <v>-3.9738984091462335</v>
      </c>
      <c r="I944">
        <v>1.8800000000000001E-2</v>
      </c>
      <c r="J944" t="str">
        <f t="shared" si="57"/>
        <v>C[N+](C)(C)CCO.[Cl-]C(COCCOCCO)O</v>
      </c>
      <c r="K944">
        <v>83</v>
      </c>
      <c r="M944">
        <f t="shared" si="58"/>
        <v>-0.72967870461249518</v>
      </c>
      <c r="N944">
        <f t="shared" si="59"/>
        <v>-0.38830464563474559</v>
      </c>
    </row>
    <row r="945" spans="1:14" x14ac:dyDescent="0.35">
      <c r="A945">
        <v>943</v>
      </c>
      <c r="B945" t="s">
        <v>7</v>
      </c>
      <c r="C945" t="s">
        <v>60</v>
      </c>
      <c r="D945">
        <v>0.25</v>
      </c>
      <c r="E945">
        <v>0.75</v>
      </c>
      <c r="F945">
        <v>303.14999999999998</v>
      </c>
      <c r="G945">
        <v>512.70000000000005</v>
      </c>
      <c r="H945">
        <f t="shared" si="56"/>
        <v>-3.7636030003098728</v>
      </c>
      <c r="I945">
        <v>2.3199999999999998E-2</v>
      </c>
      <c r="J945" t="str">
        <f t="shared" si="57"/>
        <v>C[N+](C)(C)CCO.[Cl-]C(COCCOCCO)O</v>
      </c>
      <c r="K945">
        <v>83</v>
      </c>
      <c r="M945">
        <f t="shared" si="58"/>
        <v>-0.72967870461249518</v>
      </c>
      <c r="N945">
        <f t="shared" si="59"/>
        <v>-0.33461323852649438</v>
      </c>
    </row>
    <row r="946" spans="1:14" x14ac:dyDescent="0.35">
      <c r="A946">
        <v>944</v>
      </c>
      <c r="B946" t="s">
        <v>7</v>
      </c>
      <c r="C946" t="s">
        <v>60</v>
      </c>
      <c r="D946">
        <v>0.25</v>
      </c>
      <c r="E946">
        <v>0.75</v>
      </c>
      <c r="F946">
        <v>313.14999999999998</v>
      </c>
      <c r="G946">
        <v>114</v>
      </c>
      <c r="H946">
        <f t="shared" si="56"/>
        <v>-5.57</v>
      </c>
      <c r="I946">
        <v>3.810480432592037E-3</v>
      </c>
      <c r="J946" t="str">
        <f t="shared" si="57"/>
        <v>C[N+](C)(C)CCO.[Cl-]C(COCCOCCO)O</v>
      </c>
      <c r="K946">
        <v>83</v>
      </c>
      <c r="M946">
        <f t="shared" si="58"/>
        <v>5.4037971934950142E-2</v>
      </c>
      <c r="N946">
        <f t="shared" si="59"/>
        <v>-0.55760036367295041</v>
      </c>
    </row>
    <row r="947" spans="1:14" x14ac:dyDescent="0.35">
      <c r="A947">
        <v>945</v>
      </c>
      <c r="B947" t="s">
        <v>7</v>
      </c>
      <c r="C947" t="s">
        <v>60</v>
      </c>
      <c r="D947">
        <v>0.25</v>
      </c>
      <c r="E947">
        <v>0.75</v>
      </c>
      <c r="F947">
        <v>313.14999999999998</v>
      </c>
      <c r="G947">
        <v>220.8</v>
      </c>
      <c r="H947">
        <f t="shared" si="56"/>
        <v>-4.8499999999999996</v>
      </c>
      <c r="I947">
        <v>7.8283775492257734E-3</v>
      </c>
      <c r="J947" t="str">
        <f t="shared" si="57"/>
        <v>C[N+](C)(C)CCO.[Cl-]C(COCCOCCO)O</v>
      </c>
      <c r="K947">
        <v>83</v>
      </c>
      <c r="M947">
        <f t="shared" si="58"/>
        <v>5.4037971934950142E-2</v>
      </c>
      <c r="N947">
        <f t="shared" si="59"/>
        <v>-0.49786867326502088</v>
      </c>
    </row>
    <row r="948" spans="1:14" x14ac:dyDescent="0.35">
      <c r="A948">
        <v>946</v>
      </c>
      <c r="B948" t="s">
        <v>7</v>
      </c>
      <c r="C948" t="s">
        <v>60</v>
      </c>
      <c r="D948">
        <v>0.25</v>
      </c>
      <c r="E948">
        <v>0.75</v>
      </c>
      <c r="F948">
        <v>313.14999999999998</v>
      </c>
      <c r="G948">
        <v>318.2</v>
      </c>
      <c r="H948">
        <f t="shared" si="56"/>
        <v>-4.5</v>
      </c>
      <c r="I948">
        <v>1.1108996538242306E-2</v>
      </c>
      <c r="J948" t="str">
        <f t="shared" si="57"/>
        <v>C[N+](C)(C)CCO.[Cl-]C(COCCOCCO)O</v>
      </c>
      <c r="K948">
        <v>83</v>
      </c>
      <c r="M948">
        <f t="shared" si="58"/>
        <v>5.4037971934950142E-2</v>
      </c>
      <c r="N948">
        <f t="shared" si="59"/>
        <v>-0.44339426646977426</v>
      </c>
    </row>
    <row r="949" spans="1:14" x14ac:dyDescent="0.35">
      <c r="A949">
        <v>947</v>
      </c>
      <c r="B949" t="s">
        <v>7</v>
      </c>
      <c r="C949" t="s">
        <v>60</v>
      </c>
      <c r="D949">
        <v>0.25</v>
      </c>
      <c r="E949">
        <v>0.75</v>
      </c>
      <c r="F949">
        <v>313.14999999999998</v>
      </c>
      <c r="G949">
        <v>414.9</v>
      </c>
      <c r="H949">
        <f t="shared" si="56"/>
        <v>-4.1733877695625532</v>
      </c>
      <c r="I949">
        <v>1.54E-2</v>
      </c>
      <c r="J949" t="str">
        <f t="shared" si="57"/>
        <v>C[N+](C)(C)CCO.[Cl-]C(COCCOCCO)O</v>
      </c>
      <c r="K949">
        <v>83</v>
      </c>
      <c r="M949">
        <f t="shared" si="58"/>
        <v>5.4037971934950142E-2</v>
      </c>
      <c r="N949">
        <f t="shared" si="59"/>
        <v>-0.38931135951802537</v>
      </c>
    </row>
    <row r="950" spans="1:14" x14ac:dyDescent="0.35">
      <c r="A950">
        <v>948</v>
      </c>
      <c r="B950" t="s">
        <v>7</v>
      </c>
      <c r="C950" t="s">
        <v>60</v>
      </c>
      <c r="D950">
        <v>0.25</v>
      </c>
      <c r="E950">
        <v>0.75</v>
      </c>
      <c r="F950">
        <v>313.14999999999998</v>
      </c>
      <c r="G950">
        <v>510.6</v>
      </c>
      <c r="H950">
        <f t="shared" si="56"/>
        <v>-3.94</v>
      </c>
      <c r="I950">
        <v>1.9448214745385391E-2</v>
      </c>
      <c r="J950" t="str">
        <f t="shared" si="57"/>
        <v>C[N+](C)(C)CCO.[Cl-]C(COCCOCCO)O</v>
      </c>
      <c r="K950">
        <v>83</v>
      </c>
      <c r="M950">
        <f t="shared" si="58"/>
        <v>5.4037971934950142E-2</v>
      </c>
      <c r="N950">
        <f t="shared" si="59"/>
        <v>-0.33578773805698736</v>
      </c>
    </row>
    <row r="951" spans="1:14" x14ac:dyDescent="0.35">
      <c r="A951">
        <v>949</v>
      </c>
      <c r="B951" t="s">
        <v>7</v>
      </c>
      <c r="C951" t="s">
        <v>60</v>
      </c>
      <c r="D951">
        <v>0.25</v>
      </c>
      <c r="E951">
        <v>0.75</v>
      </c>
      <c r="F951">
        <v>323.14999999999998</v>
      </c>
      <c r="G951">
        <v>119.2</v>
      </c>
      <c r="H951">
        <f t="shared" si="56"/>
        <v>-5.68</v>
      </c>
      <c r="I951">
        <v>3.4135584433954303E-3</v>
      </c>
      <c r="J951" t="str">
        <f t="shared" si="57"/>
        <v>C[N+](C)(C)CCO.[Cl-]C(COCCOCCO)O</v>
      </c>
      <c r="K951">
        <v>83</v>
      </c>
      <c r="M951">
        <f t="shared" si="58"/>
        <v>0.83775464848239545</v>
      </c>
      <c r="N951">
        <f t="shared" si="59"/>
        <v>-0.5546920791212534</v>
      </c>
    </row>
    <row r="952" spans="1:14" x14ac:dyDescent="0.35">
      <c r="A952">
        <v>950</v>
      </c>
      <c r="B952" t="s">
        <v>7</v>
      </c>
      <c r="C952" t="s">
        <v>60</v>
      </c>
      <c r="D952">
        <v>0.25</v>
      </c>
      <c r="E952">
        <v>0.75</v>
      </c>
      <c r="F952">
        <v>323.14999999999998</v>
      </c>
      <c r="G952">
        <v>216.7</v>
      </c>
      <c r="H952">
        <f t="shared" si="56"/>
        <v>-5.04</v>
      </c>
      <c r="I952">
        <v>6.4737483182894049E-3</v>
      </c>
      <c r="J952" t="str">
        <f t="shared" si="57"/>
        <v>C[N+](C)(C)CCO.[Cl-]C(COCCOCCO)O</v>
      </c>
      <c r="K952">
        <v>83</v>
      </c>
      <c r="M952">
        <f t="shared" si="58"/>
        <v>0.83775464848239545</v>
      </c>
      <c r="N952">
        <f t="shared" si="59"/>
        <v>-0.50016174377693567</v>
      </c>
    </row>
    <row r="953" spans="1:14" x14ac:dyDescent="0.35">
      <c r="A953">
        <v>951</v>
      </c>
      <c r="B953" t="s">
        <v>7</v>
      </c>
      <c r="C953" t="s">
        <v>60</v>
      </c>
      <c r="D953">
        <v>0.25</v>
      </c>
      <c r="E953">
        <v>0.75</v>
      </c>
      <c r="F953">
        <v>323.14999999999998</v>
      </c>
      <c r="G953">
        <v>318.8</v>
      </c>
      <c r="H953">
        <f t="shared" si="56"/>
        <v>-4.66</v>
      </c>
      <c r="I953">
        <v>9.4664624017103231E-3</v>
      </c>
      <c r="J953" t="str">
        <f t="shared" si="57"/>
        <v>C[N+](C)(C)CCO.[Cl-]C(COCCOCCO)O</v>
      </c>
      <c r="K953">
        <v>83</v>
      </c>
      <c r="M953">
        <f t="shared" si="58"/>
        <v>0.83775464848239545</v>
      </c>
      <c r="N953">
        <f t="shared" si="59"/>
        <v>-0.44305869517534774</v>
      </c>
    </row>
    <row r="954" spans="1:14" x14ac:dyDescent="0.35">
      <c r="A954">
        <v>952</v>
      </c>
      <c r="B954" t="s">
        <v>7</v>
      </c>
      <c r="C954" t="s">
        <v>60</v>
      </c>
      <c r="D954">
        <v>0.25</v>
      </c>
      <c r="E954">
        <v>0.75</v>
      </c>
      <c r="F954">
        <v>323.14999999999998</v>
      </c>
      <c r="G954">
        <v>418.6</v>
      </c>
      <c r="H954">
        <f t="shared" si="56"/>
        <v>-4.34</v>
      </c>
      <c r="I954">
        <v>1.3036528203437736E-2</v>
      </c>
      <c r="J954" t="str">
        <f t="shared" si="57"/>
        <v>C[N+](C)(C)CCO.[Cl-]C(COCCOCCO)O</v>
      </c>
      <c r="K954">
        <v>83</v>
      </c>
      <c r="M954">
        <f t="shared" si="58"/>
        <v>0.83775464848239545</v>
      </c>
      <c r="N954">
        <f t="shared" si="59"/>
        <v>-0.38724200320239482</v>
      </c>
    </row>
    <row r="955" spans="1:14" x14ac:dyDescent="0.35">
      <c r="A955">
        <v>953</v>
      </c>
      <c r="B955" t="s">
        <v>7</v>
      </c>
      <c r="C955" t="s">
        <v>60</v>
      </c>
      <c r="D955">
        <v>0.25</v>
      </c>
      <c r="E955">
        <v>0.75</v>
      </c>
      <c r="F955">
        <v>323.14999999999998</v>
      </c>
      <c r="G955">
        <v>516</v>
      </c>
      <c r="H955">
        <f t="shared" si="56"/>
        <v>-4.1165901711694204</v>
      </c>
      <c r="I955">
        <v>1.6299999999999999E-2</v>
      </c>
      <c r="J955" t="str">
        <f t="shared" si="57"/>
        <v>C[N+](C)(C)CCO.[Cl-]C(COCCOCCO)O</v>
      </c>
      <c r="K955">
        <v>83</v>
      </c>
      <c r="M955">
        <f t="shared" si="58"/>
        <v>0.83775464848239545</v>
      </c>
      <c r="N955">
        <f t="shared" si="59"/>
        <v>-0.33276759640714826</v>
      </c>
    </row>
    <row r="956" spans="1:14" x14ac:dyDescent="0.35">
      <c r="A956">
        <v>954</v>
      </c>
      <c r="B956" t="s">
        <v>10</v>
      </c>
      <c r="C956" t="s">
        <v>54</v>
      </c>
      <c r="D956">
        <v>0.25</v>
      </c>
      <c r="E956">
        <v>0.75</v>
      </c>
      <c r="F956">
        <v>298.14999999999998</v>
      </c>
      <c r="G956">
        <v>301</v>
      </c>
      <c r="H956">
        <f t="shared" si="56"/>
        <v>-5.47</v>
      </c>
      <c r="I956">
        <v>4.2112321579970352E-3</v>
      </c>
      <c r="J956" t="str">
        <f t="shared" si="57"/>
        <v>C[P+](C1=CC=CC=C1)(C2=CC=CC=C2)C3=CC=CC=C3.[Br-]CC(=O)CCC(=O)O</v>
      </c>
      <c r="K956">
        <v>96</v>
      </c>
      <c r="M956">
        <f t="shared" si="58"/>
        <v>-1.1215370428862177</v>
      </c>
      <c r="N956">
        <f t="shared" si="59"/>
        <v>-0.45301397691000261</v>
      </c>
    </row>
    <row r="957" spans="1:14" x14ac:dyDescent="0.35">
      <c r="A957">
        <v>955</v>
      </c>
      <c r="B957" t="s">
        <v>10</v>
      </c>
      <c r="C957" t="s">
        <v>54</v>
      </c>
      <c r="D957">
        <v>0.25</v>
      </c>
      <c r="E957">
        <v>0.75</v>
      </c>
      <c r="F957">
        <v>298.14999999999998</v>
      </c>
      <c r="G957">
        <v>698</v>
      </c>
      <c r="H957">
        <f t="shared" si="56"/>
        <v>-4.38</v>
      </c>
      <c r="I957">
        <v>1.2525358621074385E-2</v>
      </c>
      <c r="J957" t="str">
        <f t="shared" si="57"/>
        <v>C[P+](C1=CC=CC=C1)(C2=CC=CC=C2)C3=CC=CC=C3.[Br-]CC(=O)CCC(=O)O</v>
      </c>
      <c r="K957">
        <v>96</v>
      </c>
      <c r="M957">
        <f t="shared" si="58"/>
        <v>-1.1215370428862177</v>
      </c>
      <c r="N957">
        <f t="shared" si="59"/>
        <v>-0.23097763709775526</v>
      </c>
    </row>
    <row r="958" spans="1:14" x14ac:dyDescent="0.35">
      <c r="A958">
        <v>956</v>
      </c>
      <c r="B958" t="s">
        <v>10</v>
      </c>
      <c r="C958" t="s">
        <v>54</v>
      </c>
      <c r="D958">
        <v>0.25</v>
      </c>
      <c r="E958">
        <v>0.75</v>
      </c>
      <c r="F958">
        <v>298.14999999999998</v>
      </c>
      <c r="G958">
        <v>994</v>
      </c>
      <c r="H958">
        <f t="shared" si="56"/>
        <v>-3.59</v>
      </c>
      <c r="I958">
        <v>2.7598330423249287E-2</v>
      </c>
      <c r="J958" t="str">
        <f t="shared" si="57"/>
        <v>C[P+](C1=CC=CC=C1)(C2=CC=CC=C2)C3=CC=CC=C3.[Br-]CC(=O)CCC(=O)O</v>
      </c>
      <c r="K958">
        <v>96</v>
      </c>
      <c r="M958">
        <f t="shared" si="58"/>
        <v>-1.1215370428862177</v>
      </c>
      <c r="N958">
        <f t="shared" si="59"/>
        <v>-6.5429131847313887E-2</v>
      </c>
    </row>
    <row r="959" spans="1:14" x14ac:dyDescent="0.35">
      <c r="A959">
        <v>957</v>
      </c>
      <c r="B959" t="s">
        <v>10</v>
      </c>
      <c r="C959" t="s">
        <v>54</v>
      </c>
      <c r="D959">
        <v>0.25</v>
      </c>
      <c r="E959">
        <v>0.75</v>
      </c>
      <c r="F959">
        <v>298.14999999999998</v>
      </c>
      <c r="G959">
        <v>1209</v>
      </c>
      <c r="H959">
        <f t="shared" si="56"/>
        <v>-3.08</v>
      </c>
      <c r="I959">
        <v>4.5959256649044204E-2</v>
      </c>
      <c r="J959" t="str">
        <f t="shared" si="57"/>
        <v>C[P+](C1=CC=CC=C1)(C2=CC=CC=C2)C3=CC=CC=C3.[Br-]CC(=O)CCC(=O)O</v>
      </c>
      <c r="K959">
        <v>96</v>
      </c>
      <c r="M959">
        <f t="shared" si="58"/>
        <v>-1.1215370428862177</v>
      </c>
      <c r="N959">
        <f t="shared" si="59"/>
        <v>5.4817248655540468E-2</v>
      </c>
    </row>
    <row r="960" spans="1:14" x14ac:dyDescent="0.35">
      <c r="A960">
        <v>958</v>
      </c>
      <c r="B960" t="s">
        <v>10</v>
      </c>
      <c r="C960" t="s">
        <v>54</v>
      </c>
      <c r="D960">
        <v>0.25</v>
      </c>
      <c r="E960">
        <v>0.75</v>
      </c>
      <c r="F960">
        <v>298.14999999999998</v>
      </c>
      <c r="G960">
        <v>1526</v>
      </c>
      <c r="H960">
        <f t="shared" si="56"/>
        <v>-2.72</v>
      </c>
      <c r="I960">
        <v>6.5874754426402948E-2</v>
      </c>
      <c r="J960" t="str">
        <f t="shared" si="57"/>
        <v>C[P+](C1=CC=CC=C1)(C2=CC=CC=C2)C3=CC=CC=C3.[Br-]CC(=O)CCC(=O)O</v>
      </c>
      <c r="K960">
        <v>96</v>
      </c>
      <c r="M960">
        <f t="shared" si="58"/>
        <v>-1.1215370428862177</v>
      </c>
      <c r="N960">
        <f t="shared" si="59"/>
        <v>0.23211074921091179</v>
      </c>
    </row>
    <row r="961" spans="1:14" x14ac:dyDescent="0.35">
      <c r="A961">
        <v>959</v>
      </c>
      <c r="B961" t="s">
        <v>10</v>
      </c>
      <c r="C961" t="s">
        <v>54</v>
      </c>
      <c r="D961">
        <v>0.25</v>
      </c>
      <c r="E961">
        <v>0.75</v>
      </c>
      <c r="F961">
        <v>298.14999999999998</v>
      </c>
      <c r="G961">
        <v>1759</v>
      </c>
      <c r="H961">
        <f t="shared" si="56"/>
        <v>-2.39</v>
      </c>
      <c r="I961">
        <v>9.1629683877504836E-2</v>
      </c>
      <c r="J961" t="str">
        <f t="shared" si="57"/>
        <v>C[P+](C1=CC=CC=C1)(C2=CC=CC=C2)C3=CC=CC=C3.[Br-]CC(=O)CCC(=O)O</v>
      </c>
      <c r="K961">
        <v>96</v>
      </c>
      <c r="M961">
        <f t="shared" si="58"/>
        <v>-1.1215370428862177</v>
      </c>
      <c r="N961">
        <f t="shared" si="59"/>
        <v>0.36242426854656323</v>
      </c>
    </row>
    <row r="962" spans="1:14" x14ac:dyDescent="0.35">
      <c r="A962">
        <v>960</v>
      </c>
      <c r="B962" t="s">
        <v>10</v>
      </c>
      <c r="C962" t="s">
        <v>54</v>
      </c>
      <c r="D962">
        <v>0.25</v>
      </c>
      <c r="E962">
        <v>0.75</v>
      </c>
      <c r="F962">
        <v>298.14999999999998</v>
      </c>
      <c r="G962">
        <v>2068</v>
      </c>
      <c r="H962">
        <f t="shared" si="56"/>
        <v>-2.2200000000000002</v>
      </c>
      <c r="I962">
        <v>0.10860910882495796</v>
      </c>
      <c r="J962" t="str">
        <f t="shared" si="57"/>
        <v>C[P+](C1=CC=CC=C1)(C2=CC=CC=C2)C3=CC=CC=C3.[Br-]CC(=O)CCC(=O)O</v>
      </c>
      <c r="K962">
        <v>96</v>
      </c>
      <c r="M962">
        <f t="shared" si="58"/>
        <v>-1.1215370428862177</v>
      </c>
      <c r="N962">
        <f t="shared" si="59"/>
        <v>0.53524348517624698</v>
      </c>
    </row>
    <row r="963" spans="1:14" x14ac:dyDescent="0.35">
      <c r="A963">
        <v>961</v>
      </c>
      <c r="B963" t="s">
        <v>15</v>
      </c>
      <c r="C963" t="s">
        <v>70</v>
      </c>
      <c r="D963">
        <v>0.25</v>
      </c>
      <c r="E963">
        <v>0.75</v>
      </c>
      <c r="F963">
        <v>298.14999999999998</v>
      </c>
      <c r="G963">
        <v>397</v>
      </c>
      <c r="H963">
        <f t="shared" ref="H963:H1026" si="60">LN(I963)</f>
        <v>-4.53</v>
      </c>
      <c r="I963">
        <v>1.0780676072743084E-2</v>
      </c>
      <c r="J963" t="str">
        <f t="shared" ref="J963:J1026" si="61">_xlfn.CONCAT(B963,C963)</f>
        <v>CC[N+](CC)(CC)CC.[Cl-]CC(=O)O</v>
      </c>
      <c r="K963">
        <v>55</v>
      </c>
      <c r="M963">
        <f t="shared" ref="M963:M1026" si="62">(F963-$L$3)/$L$2</f>
        <v>-1.1215370428862177</v>
      </c>
      <c r="N963">
        <f t="shared" ref="N963:N1026" si="63">(G963-$L$6)/$L$5</f>
        <v>-0.39932256980175135</v>
      </c>
    </row>
    <row r="964" spans="1:14" x14ac:dyDescent="0.35">
      <c r="A964">
        <v>962</v>
      </c>
      <c r="B964" t="s">
        <v>15</v>
      </c>
      <c r="C964" t="s">
        <v>70</v>
      </c>
      <c r="D964">
        <v>0.25</v>
      </c>
      <c r="E964">
        <v>0.75</v>
      </c>
      <c r="F964">
        <v>298.14999999999998</v>
      </c>
      <c r="G964">
        <v>654</v>
      </c>
      <c r="H964">
        <f t="shared" si="60"/>
        <v>-3.63</v>
      </c>
      <c r="I964">
        <v>2.6516184408894181E-2</v>
      </c>
      <c r="J964" t="str">
        <f t="shared" si="61"/>
        <v>CC[N+](CC)(CC)CC.[Cl-]CC(=O)O</v>
      </c>
      <c r="K964">
        <v>55</v>
      </c>
      <c r="M964">
        <f t="shared" si="62"/>
        <v>-1.1215370428862177</v>
      </c>
      <c r="N964">
        <f t="shared" si="63"/>
        <v>-0.25558619868903709</v>
      </c>
    </row>
    <row r="965" spans="1:14" x14ac:dyDescent="0.35">
      <c r="A965">
        <v>963</v>
      </c>
      <c r="B965" t="s">
        <v>15</v>
      </c>
      <c r="C965" t="s">
        <v>70</v>
      </c>
      <c r="D965">
        <v>0.25</v>
      </c>
      <c r="E965">
        <v>0.75</v>
      </c>
      <c r="F965">
        <v>298.14999999999998</v>
      </c>
      <c r="G965">
        <v>957</v>
      </c>
      <c r="H965">
        <f t="shared" si="60"/>
        <v>-3.17</v>
      </c>
      <c r="I965">
        <v>4.2003597903445551E-2</v>
      </c>
      <c r="J965" t="str">
        <f t="shared" si="61"/>
        <v>CC[N+](CC)(CC)CC.[Cl-]CC(=O)O</v>
      </c>
      <c r="K965">
        <v>55</v>
      </c>
      <c r="M965">
        <f t="shared" si="62"/>
        <v>-1.1215370428862177</v>
      </c>
      <c r="N965">
        <f t="shared" si="63"/>
        <v>-8.6122695003619062E-2</v>
      </c>
    </row>
    <row r="966" spans="1:14" x14ac:dyDescent="0.35">
      <c r="A966">
        <v>964</v>
      </c>
      <c r="B966" t="s">
        <v>15</v>
      </c>
      <c r="C966" t="s">
        <v>70</v>
      </c>
      <c r="D966">
        <v>0.25</v>
      </c>
      <c r="E966">
        <v>0.75</v>
      </c>
      <c r="F966">
        <v>298.14999999999998</v>
      </c>
      <c r="G966">
        <v>1230</v>
      </c>
      <c r="H966">
        <f t="shared" si="60"/>
        <v>-2.82</v>
      </c>
      <c r="I966">
        <v>5.9605942708939368E-2</v>
      </c>
      <c r="J966" t="str">
        <f t="shared" si="61"/>
        <v>CC[N+](CC)(CC)CC.[Cl-]CC(=O)O</v>
      </c>
      <c r="K966">
        <v>55</v>
      </c>
      <c r="M966">
        <f t="shared" si="62"/>
        <v>-1.1215370428862177</v>
      </c>
      <c r="N966">
        <f t="shared" si="63"/>
        <v>6.6562243960470432E-2</v>
      </c>
    </row>
    <row r="967" spans="1:14" x14ac:dyDescent="0.35">
      <c r="A967">
        <v>965</v>
      </c>
      <c r="B967" t="s">
        <v>15</v>
      </c>
      <c r="C967" t="s">
        <v>70</v>
      </c>
      <c r="D967">
        <v>0.25</v>
      </c>
      <c r="E967">
        <v>0.75</v>
      </c>
      <c r="F967">
        <v>298.14999999999998</v>
      </c>
      <c r="G967">
        <v>1634</v>
      </c>
      <c r="H967">
        <f t="shared" si="60"/>
        <v>-2.5499999999999998</v>
      </c>
      <c r="I967">
        <v>7.8081666001153169E-2</v>
      </c>
      <c r="J967" t="str">
        <f t="shared" si="61"/>
        <v>CC[N+](CC)(CC)CC.[Cl-]CC(=O)O</v>
      </c>
      <c r="K967">
        <v>55</v>
      </c>
      <c r="M967">
        <f t="shared" si="62"/>
        <v>-1.1215370428862177</v>
      </c>
      <c r="N967">
        <f t="shared" si="63"/>
        <v>0.29251358220769447</v>
      </c>
    </row>
    <row r="968" spans="1:14" x14ac:dyDescent="0.35">
      <c r="A968">
        <v>966</v>
      </c>
      <c r="B968" t="s">
        <v>15</v>
      </c>
      <c r="C968" t="s">
        <v>70</v>
      </c>
      <c r="D968">
        <v>0.25</v>
      </c>
      <c r="E968">
        <v>0.75</v>
      </c>
      <c r="F968">
        <v>298.14999999999998</v>
      </c>
      <c r="G968">
        <v>2016</v>
      </c>
      <c r="H968">
        <f t="shared" si="60"/>
        <v>-2.34</v>
      </c>
      <c r="I968">
        <v>9.6327638230493035E-2</v>
      </c>
      <c r="J968" t="str">
        <f t="shared" si="61"/>
        <v>CC[N+](CC)(CC)CC.[Cl-]CC(=O)O</v>
      </c>
      <c r="K968">
        <v>55</v>
      </c>
      <c r="M968">
        <f t="shared" si="62"/>
        <v>-1.1215370428862177</v>
      </c>
      <c r="N968">
        <f t="shared" si="63"/>
        <v>0.50616063965927749</v>
      </c>
    </row>
    <row r="969" spans="1:14" x14ac:dyDescent="0.35">
      <c r="A969">
        <v>967</v>
      </c>
      <c r="B969" t="s">
        <v>15</v>
      </c>
      <c r="C969" t="s">
        <v>76</v>
      </c>
      <c r="D969">
        <v>0.25</v>
      </c>
      <c r="E969">
        <v>0.75</v>
      </c>
      <c r="F969">
        <v>298.14999999999998</v>
      </c>
      <c r="G969">
        <v>353</v>
      </c>
      <c r="H969">
        <f t="shared" si="60"/>
        <v>-3.77</v>
      </c>
      <c r="I969">
        <v>2.3052063287225571E-2</v>
      </c>
      <c r="J969" t="str">
        <f t="shared" si="61"/>
        <v>CC[N+](CC)(CC)CC.[Cl-]CCCCCCCC(=O)O</v>
      </c>
      <c r="K969">
        <v>58</v>
      </c>
      <c r="M969">
        <f t="shared" si="62"/>
        <v>-1.1215370428862177</v>
      </c>
      <c r="N969">
        <f t="shared" si="63"/>
        <v>-0.42393113139303318</v>
      </c>
    </row>
    <row r="970" spans="1:14" x14ac:dyDescent="0.35">
      <c r="A970">
        <v>968</v>
      </c>
      <c r="B970" t="s">
        <v>15</v>
      </c>
      <c r="C970" t="s">
        <v>76</v>
      </c>
      <c r="D970">
        <v>0.25</v>
      </c>
      <c r="E970">
        <v>0.75</v>
      </c>
      <c r="F970">
        <v>298.14999999999998</v>
      </c>
      <c r="G970">
        <v>624</v>
      </c>
      <c r="H970">
        <f t="shared" si="60"/>
        <v>-3.02</v>
      </c>
      <c r="I970">
        <v>4.8801218362012962E-2</v>
      </c>
      <c r="J970" t="str">
        <f t="shared" si="61"/>
        <v>CC[N+](CC)(CC)CC.[Cl-]CCCCCCCC(=O)O</v>
      </c>
      <c r="K970">
        <v>58</v>
      </c>
      <c r="M970">
        <f t="shared" si="62"/>
        <v>-1.1215370428862177</v>
      </c>
      <c r="N970">
        <f t="shared" si="63"/>
        <v>-0.27236476341036558</v>
      </c>
    </row>
    <row r="971" spans="1:14" x14ac:dyDescent="0.35">
      <c r="A971">
        <v>969</v>
      </c>
      <c r="B971" t="s">
        <v>15</v>
      </c>
      <c r="C971" t="s">
        <v>76</v>
      </c>
      <c r="D971">
        <v>0.25</v>
      </c>
      <c r="E971">
        <v>0.75</v>
      </c>
      <c r="F971">
        <v>298.14999999999998</v>
      </c>
      <c r="G971">
        <v>940</v>
      </c>
      <c r="H971">
        <f t="shared" si="60"/>
        <v>-2.5</v>
      </c>
      <c r="I971">
        <v>8.20849986238988E-2</v>
      </c>
      <c r="J971" t="str">
        <f t="shared" si="61"/>
        <v>CC[N+](CC)(CC)CC.[Cl-]CCCCCCCC(=O)O</v>
      </c>
      <c r="K971">
        <v>58</v>
      </c>
      <c r="M971">
        <f t="shared" si="62"/>
        <v>-1.1215370428862177</v>
      </c>
      <c r="N971">
        <f t="shared" si="63"/>
        <v>-9.5630548345705224E-2</v>
      </c>
    </row>
    <row r="972" spans="1:14" x14ac:dyDescent="0.35">
      <c r="A972">
        <v>970</v>
      </c>
      <c r="B972" t="s">
        <v>15</v>
      </c>
      <c r="C972" t="s">
        <v>76</v>
      </c>
      <c r="D972">
        <v>0.25</v>
      </c>
      <c r="E972">
        <v>0.75</v>
      </c>
      <c r="F972">
        <v>298.14999999999998</v>
      </c>
      <c r="G972">
        <v>1277</v>
      </c>
      <c r="H972">
        <f t="shared" si="60"/>
        <v>-2.1800000000000002</v>
      </c>
      <c r="I972">
        <v>0.11304153064044985</v>
      </c>
      <c r="J972" t="str">
        <f t="shared" si="61"/>
        <v>CC[N+](CC)(CC)CC.[Cl-]CCCCCCCC(=O)O</v>
      </c>
      <c r="K972">
        <v>58</v>
      </c>
      <c r="M972">
        <f t="shared" si="62"/>
        <v>-1.1215370428862177</v>
      </c>
      <c r="N972">
        <f t="shared" si="63"/>
        <v>9.2848662023885101E-2</v>
      </c>
    </row>
    <row r="973" spans="1:14" x14ac:dyDescent="0.35">
      <c r="A973">
        <v>971</v>
      </c>
      <c r="B973" t="s">
        <v>15</v>
      </c>
      <c r="C973" t="s">
        <v>76</v>
      </c>
      <c r="D973">
        <v>0.25</v>
      </c>
      <c r="E973">
        <v>0.75</v>
      </c>
      <c r="F973">
        <v>298.14999999999998</v>
      </c>
      <c r="G973">
        <v>1619</v>
      </c>
      <c r="H973">
        <f t="shared" si="60"/>
        <v>-1.96</v>
      </c>
      <c r="I973">
        <v>0.140858420921045</v>
      </c>
      <c r="J973" t="str">
        <f t="shared" si="61"/>
        <v>CC[N+](CC)(CC)CC.[Cl-]CCCCCCCC(=O)O</v>
      </c>
      <c r="K973">
        <v>58</v>
      </c>
      <c r="M973">
        <f t="shared" si="62"/>
        <v>-1.1215370428862177</v>
      </c>
      <c r="N973">
        <f t="shared" si="63"/>
        <v>0.28412429984703019</v>
      </c>
    </row>
    <row r="974" spans="1:14" x14ac:dyDescent="0.35">
      <c r="A974">
        <v>972</v>
      </c>
      <c r="B974" t="s">
        <v>15</v>
      </c>
      <c r="C974" t="s">
        <v>76</v>
      </c>
      <c r="D974">
        <v>0.25</v>
      </c>
      <c r="E974">
        <v>0.75</v>
      </c>
      <c r="F974">
        <v>298.14999999999998</v>
      </c>
      <c r="G974">
        <v>2018</v>
      </c>
      <c r="H974">
        <f t="shared" si="60"/>
        <v>-1.76</v>
      </c>
      <c r="I974">
        <v>0.17204486382305054</v>
      </c>
      <c r="J974" t="str">
        <f t="shared" si="61"/>
        <v>CC[N+](CC)(CC)CC.[Cl-]CCCCCCCC(=O)O</v>
      </c>
      <c r="K974">
        <v>58</v>
      </c>
      <c r="M974">
        <f t="shared" si="62"/>
        <v>-1.1215370428862177</v>
      </c>
      <c r="N974">
        <f t="shared" si="63"/>
        <v>0.50727921064069947</v>
      </c>
    </row>
    <row r="975" spans="1:14" x14ac:dyDescent="0.35">
      <c r="A975">
        <v>973</v>
      </c>
      <c r="B975" t="s">
        <v>10</v>
      </c>
      <c r="C975" t="s">
        <v>40</v>
      </c>
      <c r="D975">
        <v>0.25</v>
      </c>
      <c r="E975">
        <v>0.75</v>
      </c>
      <c r="F975">
        <v>298.14999999999998</v>
      </c>
      <c r="G975">
        <v>192</v>
      </c>
      <c r="H975">
        <f t="shared" si="60"/>
        <v>-5.0999999999999996</v>
      </c>
      <c r="I975">
        <v>6.0967465655156379E-3</v>
      </c>
      <c r="J975" t="str">
        <f t="shared" si="61"/>
        <v>C[P+](C1=CC=CC=C1)(C2=CC=CC=C2)C3=CC=CC=C3.[Br-]C(CO)O</v>
      </c>
      <c r="K975">
        <v>95</v>
      </c>
      <c r="M975">
        <f t="shared" si="62"/>
        <v>-1.1215370428862177</v>
      </c>
      <c r="N975">
        <f t="shared" si="63"/>
        <v>-0.51397609539749622</v>
      </c>
    </row>
    <row r="976" spans="1:14" x14ac:dyDescent="0.35">
      <c r="A976">
        <v>974</v>
      </c>
      <c r="B976" t="s">
        <v>10</v>
      </c>
      <c r="C976" t="s">
        <v>40</v>
      </c>
      <c r="D976">
        <v>0.25</v>
      </c>
      <c r="E976">
        <v>0.75</v>
      </c>
      <c r="F976">
        <v>298.14999999999998</v>
      </c>
      <c r="G976">
        <v>437</v>
      </c>
      <c r="H976">
        <f t="shared" si="60"/>
        <v>-4.42</v>
      </c>
      <c r="I976">
        <v>1.2034232284723775E-2</v>
      </c>
      <c r="J976" t="str">
        <f t="shared" si="61"/>
        <v>C[P+](C1=CC=CC=C1)(C2=CC=CC=C2)C3=CC=CC=C3.[Br-]C(CO)O</v>
      </c>
      <c r="K976">
        <v>95</v>
      </c>
      <c r="M976">
        <f t="shared" si="62"/>
        <v>-1.1215370428862177</v>
      </c>
      <c r="N976">
        <f t="shared" si="63"/>
        <v>-0.37695115017331332</v>
      </c>
    </row>
    <row r="977" spans="1:14" x14ac:dyDescent="0.35">
      <c r="A977">
        <v>975</v>
      </c>
      <c r="B977" t="s">
        <v>10</v>
      </c>
      <c r="C977" t="s">
        <v>40</v>
      </c>
      <c r="D977">
        <v>0.25</v>
      </c>
      <c r="E977">
        <v>0.75</v>
      </c>
      <c r="F977">
        <v>298.14999999999998</v>
      </c>
      <c r="G977">
        <v>710</v>
      </c>
      <c r="H977">
        <f t="shared" si="60"/>
        <v>-4</v>
      </c>
      <c r="I977">
        <v>1.8315638888734179E-2</v>
      </c>
      <c r="J977" t="str">
        <f t="shared" si="61"/>
        <v>C[P+](C1=CC=CC=C1)(C2=CC=CC=C2)C3=CC=CC=C3.[Br-]C(CO)O</v>
      </c>
      <c r="K977">
        <v>95</v>
      </c>
      <c r="M977">
        <f t="shared" si="62"/>
        <v>-1.1215370428862177</v>
      </c>
      <c r="N977">
        <f t="shared" si="63"/>
        <v>-0.22426621120922385</v>
      </c>
    </row>
    <row r="978" spans="1:14" x14ac:dyDescent="0.35">
      <c r="A978">
        <v>976</v>
      </c>
      <c r="B978" t="s">
        <v>10</v>
      </c>
      <c r="C978" t="s">
        <v>40</v>
      </c>
      <c r="D978">
        <v>0.25</v>
      </c>
      <c r="E978">
        <v>0.75</v>
      </c>
      <c r="F978">
        <v>298.14999999999998</v>
      </c>
      <c r="G978">
        <v>1134</v>
      </c>
      <c r="H978">
        <f t="shared" si="60"/>
        <v>-3.67</v>
      </c>
      <c r="I978">
        <v>2.5476469946681016E-2</v>
      </c>
      <c r="J978" t="str">
        <f t="shared" si="61"/>
        <v>C[P+](C1=CC=CC=C1)(C2=CC=CC=C2)C3=CC=CC=C3.[Br-]C(CO)O</v>
      </c>
      <c r="K978">
        <v>95</v>
      </c>
      <c r="M978">
        <f t="shared" si="62"/>
        <v>-1.1215370428862177</v>
      </c>
      <c r="N978">
        <f t="shared" si="63"/>
        <v>1.2870836852219179E-2</v>
      </c>
    </row>
    <row r="979" spans="1:14" x14ac:dyDescent="0.35">
      <c r="A979">
        <v>977</v>
      </c>
      <c r="B979" t="s">
        <v>10</v>
      </c>
      <c r="C979" t="s">
        <v>40</v>
      </c>
      <c r="D979">
        <v>0.25</v>
      </c>
      <c r="E979">
        <v>0.75</v>
      </c>
      <c r="F979">
        <v>298.14999999999998</v>
      </c>
      <c r="G979">
        <v>1528</v>
      </c>
      <c r="H979">
        <f t="shared" si="60"/>
        <v>-3.44</v>
      </c>
      <c r="I979">
        <v>3.2064685327860769E-2</v>
      </c>
      <c r="J979" t="str">
        <f t="shared" si="61"/>
        <v>C[P+](C1=CC=CC=C1)(C2=CC=CC=C2)C3=CC=CC=C3.[Br-]C(CO)O</v>
      </c>
      <c r="K979">
        <v>95</v>
      </c>
      <c r="M979">
        <f t="shared" si="62"/>
        <v>-1.1215370428862177</v>
      </c>
      <c r="N979">
        <f t="shared" si="63"/>
        <v>0.23322932019233369</v>
      </c>
    </row>
    <row r="980" spans="1:14" x14ac:dyDescent="0.35">
      <c r="A980">
        <v>978</v>
      </c>
      <c r="B980" t="s">
        <v>10</v>
      </c>
      <c r="C980" t="s">
        <v>40</v>
      </c>
      <c r="D980">
        <v>0.25</v>
      </c>
      <c r="E980">
        <v>0.75</v>
      </c>
      <c r="F980">
        <v>298.14999999999998</v>
      </c>
      <c r="G980">
        <v>2018</v>
      </c>
      <c r="H980">
        <f t="shared" si="60"/>
        <v>-3.09</v>
      </c>
      <c r="I980">
        <v>4.550195440462157E-2</v>
      </c>
      <c r="J980" t="str">
        <f t="shared" si="61"/>
        <v>C[P+](C1=CC=CC=C1)(C2=CC=CC=C2)C3=CC=CC=C3.[Br-]C(CO)O</v>
      </c>
      <c r="K980">
        <v>95</v>
      </c>
      <c r="M980">
        <f t="shared" si="62"/>
        <v>-1.1215370428862177</v>
      </c>
      <c r="N980">
        <f t="shared" si="63"/>
        <v>0.50727921064069947</v>
      </c>
    </row>
    <row r="981" spans="1:14" x14ac:dyDescent="0.35">
      <c r="A981">
        <v>979</v>
      </c>
      <c r="B981" t="s">
        <v>7</v>
      </c>
      <c r="C981" t="s">
        <v>36</v>
      </c>
      <c r="D981">
        <v>0.25</v>
      </c>
      <c r="E981">
        <v>0.75</v>
      </c>
      <c r="F981">
        <v>293.14999999999998</v>
      </c>
      <c r="G981">
        <v>110.9</v>
      </c>
      <c r="H981">
        <f t="shared" si="60"/>
        <v>-5.68</v>
      </c>
      <c r="I981">
        <v>3.4135584433954303E-3</v>
      </c>
      <c r="J981" t="str">
        <f t="shared" si="61"/>
        <v>C[N+](C)(C)CCO.[Cl-]C(CCO)CO</v>
      </c>
      <c r="K981">
        <v>77</v>
      </c>
      <c r="M981">
        <f t="shared" si="62"/>
        <v>-1.5133953811599403</v>
      </c>
      <c r="N981">
        <f t="shared" si="63"/>
        <v>-0.55933414869415432</v>
      </c>
    </row>
    <row r="982" spans="1:14" x14ac:dyDescent="0.35">
      <c r="A982">
        <v>980</v>
      </c>
      <c r="B982" t="s">
        <v>7</v>
      </c>
      <c r="C982" t="s">
        <v>36</v>
      </c>
      <c r="D982">
        <v>0.25</v>
      </c>
      <c r="E982">
        <v>0.75</v>
      </c>
      <c r="F982">
        <v>293.14999999999998</v>
      </c>
      <c r="G982">
        <v>212.5</v>
      </c>
      <c r="H982">
        <f t="shared" si="60"/>
        <v>-4.9800000000000004</v>
      </c>
      <c r="I982">
        <v>6.8740625574962482E-3</v>
      </c>
      <c r="J982" t="str">
        <f t="shared" si="61"/>
        <v>C[N+](C)(C)CCO.[Cl-]C(CCO)CO</v>
      </c>
      <c r="K982">
        <v>77</v>
      </c>
      <c r="M982">
        <f t="shared" si="62"/>
        <v>-1.5133953811599403</v>
      </c>
      <c r="N982">
        <f t="shared" si="63"/>
        <v>-0.50251074283792174</v>
      </c>
    </row>
    <row r="983" spans="1:14" x14ac:dyDescent="0.35">
      <c r="A983">
        <v>981</v>
      </c>
      <c r="B983" t="s">
        <v>7</v>
      </c>
      <c r="C983" t="s">
        <v>36</v>
      </c>
      <c r="D983">
        <v>0.25</v>
      </c>
      <c r="E983">
        <v>0.75</v>
      </c>
      <c r="F983">
        <v>293.14999999999998</v>
      </c>
      <c r="G983">
        <v>312.5</v>
      </c>
      <c r="H983">
        <f t="shared" si="60"/>
        <v>-4.6100000000000003</v>
      </c>
      <c r="I983">
        <v>9.9518183078484198E-3</v>
      </c>
      <c r="J983" t="str">
        <f t="shared" si="61"/>
        <v>C[N+](C)(C)CCO.[Cl-]C(CCO)CO</v>
      </c>
      <c r="K983">
        <v>77</v>
      </c>
      <c r="M983">
        <f t="shared" si="62"/>
        <v>-1.5133953811599403</v>
      </c>
      <c r="N983">
        <f t="shared" si="63"/>
        <v>-0.44658219376682667</v>
      </c>
    </row>
    <row r="984" spans="1:14" x14ac:dyDescent="0.35">
      <c r="A984">
        <v>982</v>
      </c>
      <c r="B984" t="s">
        <v>7</v>
      </c>
      <c r="C984" t="s">
        <v>36</v>
      </c>
      <c r="D984">
        <v>0.25</v>
      </c>
      <c r="E984">
        <v>0.75</v>
      </c>
      <c r="F984">
        <v>293.14999999999998</v>
      </c>
      <c r="G984">
        <v>412</v>
      </c>
      <c r="H984">
        <f t="shared" si="60"/>
        <v>-4.3351430487750315</v>
      </c>
      <c r="I984">
        <v>1.3100000000000001E-2</v>
      </c>
      <c r="J984" t="str">
        <f t="shared" si="61"/>
        <v>C[N+](C)(C)CCO.[Cl-]C(CCO)CO</v>
      </c>
      <c r="K984">
        <v>77</v>
      </c>
      <c r="M984">
        <f t="shared" si="62"/>
        <v>-1.5133953811599403</v>
      </c>
      <c r="N984">
        <f t="shared" si="63"/>
        <v>-0.39093328744108707</v>
      </c>
    </row>
    <row r="985" spans="1:14" x14ac:dyDescent="0.35">
      <c r="A985">
        <v>983</v>
      </c>
      <c r="B985" t="s">
        <v>7</v>
      </c>
      <c r="C985" t="s">
        <v>36</v>
      </c>
      <c r="D985">
        <v>0.25</v>
      </c>
      <c r="E985">
        <v>0.75</v>
      </c>
      <c r="F985">
        <v>293.14999999999998</v>
      </c>
      <c r="G985">
        <v>509.7</v>
      </c>
      <c r="H985">
        <f t="shared" si="60"/>
        <v>-4.1100000000000003</v>
      </c>
      <c r="I985">
        <v>1.6407774526292645E-2</v>
      </c>
      <c r="J985" t="str">
        <f t="shared" si="61"/>
        <v>C[N+](C)(C)CCO.[Cl-]C(CCO)CO</v>
      </c>
      <c r="K985">
        <v>77</v>
      </c>
      <c r="M985">
        <f t="shared" si="62"/>
        <v>-1.5133953811599403</v>
      </c>
      <c r="N985">
        <f t="shared" si="63"/>
        <v>-0.33629109499862719</v>
      </c>
    </row>
    <row r="986" spans="1:14" x14ac:dyDescent="0.35">
      <c r="A986">
        <v>984</v>
      </c>
      <c r="B986" t="s">
        <v>7</v>
      </c>
      <c r="C986" t="s">
        <v>36</v>
      </c>
      <c r="D986">
        <v>0.25</v>
      </c>
      <c r="E986">
        <v>0.75</v>
      </c>
      <c r="F986">
        <v>303.14999999999998</v>
      </c>
      <c r="G986">
        <v>113.1</v>
      </c>
      <c r="H986">
        <f t="shared" si="60"/>
        <v>-5.78</v>
      </c>
      <c r="I986">
        <v>3.0887154082367687E-3</v>
      </c>
      <c r="J986" t="str">
        <f t="shared" si="61"/>
        <v>C[N+](C)(C)CCO.[Cl-]C(CCO)CO</v>
      </c>
      <c r="K986">
        <v>77</v>
      </c>
      <c r="M986">
        <f t="shared" si="62"/>
        <v>-0.72967870461249518</v>
      </c>
      <c r="N986">
        <f t="shared" si="63"/>
        <v>-0.55810372061459024</v>
      </c>
    </row>
    <row r="987" spans="1:14" x14ac:dyDescent="0.35">
      <c r="A987">
        <v>985</v>
      </c>
      <c r="B987" t="s">
        <v>7</v>
      </c>
      <c r="C987" t="s">
        <v>36</v>
      </c>
      <c r="D987">
        <v>0.25</v>
      </c>
      <c r="E987">
        <v>0.75</v>
      </c>
      <c r="F987">
        <v>303.14999999999998</v>
      </c>
      <c r="G987">
        <v>217.4</v>
      </c>
      <c r="H987">
        <f t="shared" si="60"/>
        <v>-5.12</v>
      </c>
      <c r="I987">
        <v>5.9760228950059427E-3</v>
      </c>
      <c r="J987" t="str">
        <f t="shared" si="61"/>
        <v>C[N+](C)(C)CCO.[Cl-]C(CCO)CO</v>
      </c>
      <c r="K987">
        <v>77</v>
      </c>
      <c r="M987">
        <f t="shared" si="62"/>
        <v>-0.72967870461249518</v>
      </c>
      <c r="N987">
        <f t="shared" si="63"/>
        <v>-0.49977024393343811</v>
      </c>
    </row>
    <row r="988" spans="1:14" x14ac:dyDescent="0.35">
      <c r="A988">
        <v>986</v>
      </c>
      <c r="B988" t="s">
        <v>7</v>
      </c>
      <c r="C988" t="s">
        <v>36</v>
      </c>
      <c r="D988">
        <v>0.25</v>
      </c>
      <c r="E988">
        <v>0.75</v>
      </c>
      <c r="F988">
        <v>303.14999999999998</v>
      </c>
      <c r="G988">
        <v>307.60000000000002</v>
      </c>
      <c r="H988">
        <f t="shared" si="60"/>
        <v>-4.74</v>
      </c>
      <c r="I988">
        <v>8.7386461854732905E-3</v>
      </c>
      <c r="J988" t="str">
        <f t="shared" si="61"/>
        <v>C[N+](C)(C)CCO.[Cl-]C(CCO)CO</v>
      </c>
      <c r="K988">
        <v>77</v>
      </c>
      <c r="M988">
        <f t="shared" si="62"/>
        <v>-0.72967870461249518</v>
      </c>
      <c r="N988">
        <f t="shared" si="63"/>
        <v>-0.44932269267131031</v>
      </c>
    </row>
    <row r="989" spans="1:14" x14ac:dyDescent="0.35">
      <c r="A989">
        <v>987</v>
      </c>
      <c r="B989" t="s">
        <v>7</v>
      </c>
      <c r="C989" t="s">
        <v>36</v>
      </c>
      <c r="D989">
        <v>0.25</v>
      </c>
      <c r="E989">
        <v>0.75</v>
      </c>
      <c r="F989">
        <v>303.14999999999998</v>
      </c>
      <c r="G989">
        <v>406.3</v>
      </c>
      <c r="H989">
        <f t="shared" si="60"/>
        <v>-4.45</v>
      </c>
      <c r="I989">
        <v>1.1678566970395442E-2</v>
      </c>
      <c r="J989" t="str">
        <f t="shared" si="61"/>
        <v>C[N+](C)(C)CCO.[Cl-]C(CCO)CO</v>
      </c>
      <c r="K989">
        <v>77</v>
      </c>
      <c r="M989">
        <f t="shared" si="62"/>
        <v>-0.72967870461249518</v>
      </c>
      <c r="N989">
        <f t="shared" si="63"/>
        <v>-0.39412121473813955</v>
      </c>
    </row>
    <row r="990" spans="1:14" x14ac:dyDescent="0.35">
      <c r="A990">
        <v>988</v>
      </c>
      <c r="B990" t="s">
        <v>7</v>
      </c>
      <c r="C990" t="s">
        <v>36</v>
      </c>
      <c r="D990">
        <v>0.25</v>
      </c>
      <c r="E990">
        <v>0.75</v>
      </c>
      <c r="F990">
        <v>303.14999999999998</v>
      </c>
      <c r="G990">
        <v>497.5</v>
      </c>
      <c r="H990">
        <f t="shared" si="60"/>
        <v>-4.2545133143749219</v>
      </c>
      <c r="I990">
        <v>1.4200000000000001E-2</v>
      </c>
      <c r="J990" t="str">
        <f t="shared" si="61"/>
        <v>C[N+](C)(C)CCO.[Cl-]C(CCO)CO</v>
      </c>
      <c r="K990">
        <v>77</v>
      </c>
      <c r="M990">
        <f t="shared" si="62"/>
        <v>-0.72967870461249518</v>
      </c>
      <c r="N990">
        <f t="shared" si="63"/>
        <v>-0.34311437798530081</v>
      </c>
    </row>
    <row r="991" spans="1:14" x14ac:dyDescent="0.35">
      <c r="A991">
        <v>989</v>
      </c>
      <c r="B991" t="s">
        <v>7</v>
      </c>
      <c r="C991" t="s">
        <v>36</v>
      </c>
      <c r="D991">
        <v>0.25</v>
      </c>
      <c r="E991">
        <v>0.75</v>
      </c>
      <c r="F991">
        <v>313.14999999999998</v>
      </c>
      <c r="G991">
        <v>121.4</v>
      </c>
      <c r="H991">
        <f t="shared" si="60"/>
        <v>-5.88</v>
      </c>
      <c r="I991">
        <v>2.7947852750368437E-3</v>
      </c>
      <c r="J991" t="str">
        <f t="shared" si="61"/>
        <v>C[N+](C)(C)CCO.[Cl-]C(CCO)CO</v>
      </c>
      <c r="K991">
        <v>77</v>
      </c>
      <c r="M991">
        <f t="shared" si="62"/>
        <v>5.4037971934950142E-2</v>
      </c>
      <c r="N991">
        <f t="shared" si="63"/>
        <v>-0.55346165104168932</v>
      </c>
    </row>
    <row r="992" spans="1:14" x14ac:dyDescent="0.35">
      <c r="A992">
        <v>990</v>
      </c>
      <c r="B992" t="s">
        <v>7</v>
      </c>
      <c r="C992" t="s">
        <v>36</v>
      </c>
      <c r="D992">
        <v>0.25</v>
      </c>
      <c r="E992">
        <v>0.75</v>
      </c>
      <c r="F992">
        <v>313.14999999999998</v>
      </c>
      <c r="G992">
        <v>233.1</v>
      </c>
      <c r="H992">
        <f t="shared" si="60"/>
        <v>-5.26</v>
      </c>
      <c r="I992">
        <v>5.1953047187052312E-3</v>
      </c>
      <c r="J992" t="str">
        <f t="shared" si="61"/>
        <v>C[N+](C)(C)CCO.[Cl-]C(CCO)CO</v>
      </c>
      <c r="K992">
        <v>77</v>
      </c>
      <c r="M992">
        <f t="shared" si="62"/>
        <v>5.4037971934950142E-2</v>
      </c>
      <c r="N992">
        <f t="shared" si="63"/>
        <v>-0.49098946172927616</v>
      </c>
    </row>
    <row r="993" spans="1:14" x14ac:dyDescent="0.35">
      <c r="A993">
        <v>991</v>
      </c>
      <c r="B993" t="s">
        <v>7</v>
      </c>
      <c r="C993" t="s">
        <v>36</v>
      </c>
      <c r="D993">
        <v>0.25</v>
      </c>
      <c r="E993">
        <v>0.75</v>
      </c>
      <c r="F993">
        <v>313.14999999999998</v>
      </c>
      <c r="G993">
        <v>321.60000000000002</v>
      </c>
      <c r="H993">
        <f t="shared" si="60"/>
        <v>-4.92</v>
      </c>
      <c r="I993">
        <v>7.2991308467885829E-3</v>
      </c>
      <c r="J993" t="str">
        <f t="shared" si="61"/>
        <v>C[N+](C)(C)CCO.[Cl-]C(CCO)CO</v>
      </c>
      <c r="K993">
        <v>77</v>
      </c>
      <c r="M993">
        <f t="shared" si="62"/>
        <v>5.4037971934950142E-2</v>
      </c>
      <c r="N993">
        <f t="shared" si="63"/>
        <v>-0.44149269580135703</v>
      </c>
    </row>
    <row r="994" spans="1:14" x14ac:dyDescent="0.35">
      <c r="A994">
        <v>992</v>
      </c>
      <c r="B994" t="s">
        <v>7</v>
      </c>
      <c r="C994" t="s">
        <v>36</v>
      </c>
      <c r="D994">
        <v>0.25</v>
      </c>
      <c r="E994">
        <v>0.75</v>
      </c>
      <c r="F994">
        <v>313.14999999999998</v>
      </c>
      <c r="G994">
        <v>410.2</v>
      </c>
      <c r="H994">
        <f t="shared" si="60"/>
        <v>-4.6399999999999997</v>
      </c>
      <c r="I994">
        <v>9.6576976275377768E-3</v>
      </c>
      <c r="J994" t="str">
        <f t="shared" si="61"/>
        <v>C[N+](C)(C)CCO.[Cl-]C(CCO)CO</v>
      </c>
      <c r="K994">
        <v>77</v>
      </c>
      <c r="M994">
        <f t="shared" si="62"/>
        <v>5.4037971934950142E-2</v>
      </c>
      <c r="N994">
        <f t="shared" si="63"/>
        <v>-0.39194000132436679</v>
      </c>
    </row>
    <row r="995" spans="1:14" x14ac:dyDescent="0.35">
      <c r="A995">
        <v>993</v>
      </c>
      <c r="B995" t="s">
        <v>7</v>
      </c>
      <c r="C995" t="s">
        <v>36</v>
      </c>
      <c r="D995">
        <v>0.25</v>
      </c>
      <c r="E995">
        <v>0.75</v>
      </c>
      <c r="F995">
        <v>313.14999999999998</v>
      </c>
      <c r="G995">
        <v>502.8</v>
      </c>
      <c r="H995">
        <f t="shared" si="60"/>
        <v>-4.4145498263794414</v>
      </c>
      <c r="I995">
        <v>1.21E-2</v>
      </c>
      <c r="J995" t="str">
        <f t="shared" si="61"/>
        <v>C[N+](C)(C)CCO.[Cl-]C(CCO)CO</v>
      </c>
      <c r="K995">
        <v>77</v>
      </c>
      <c r="M995">
        <f t="shared" si="62"/>
        <v>5.4037971934950142E-2</v>
      </c>
      <c r="N995">
        <f t="shared" si="63"/>
        <v>-0.34015016488453281</v>
      </c>
    </row>
    <row r="996" spans="1:14" x14ac:dyDescent="0.35">
      <c r="A996">
        <v>994</v>
      </c>
      <c r="B996" t="s">
        <v>7</v>
      </c>
      <c r="C996" t="s">
        <v>36</v>
      </c>
      <c r="D996">
        <v>0.25</v>
      </c>
      <c r="E996">
        <v>0.75</v>
      </c>
      <c r="F996">
        <v>323.14999999999998</v>
      </c>
      <c r="G996">
        <v>122.8</v>
      </c>
      <c r="H996">
        <f t="shared" si="60"/>
        <v>-5.99</v>
      </c>
      <c r="I996">
        <v>2.5036640502020999E-3</v>
      </c>
      <c r="J996" t="str">
        <f t="shared" si="61"/>
        <v>C[N+](C)(C)CCO.[Cl-]C(CCO)CO</v>
      </c>
      <c r="K996">
        <v>77</v>
      </c>
      <c r="M996">
        <f t="shared" si="62"/>
        <v>0.83775464848239545</v>
      </c>
      <c r="N996">
        <f t="shared" si="63"/>
        <v>-0.55267865135469396</v>
      </c>
    </row>
    <row r="997" spans="1:14" x14ac:dyDescent="0.35">
      <c r="A997">
        <v>995</v>
      </c>
      <c r="B997" t="s">
        <v>7</v>
      </c>
      <c r="C997" t="s">
        <v>36</v>
      </c>
      <c r="D997">
        <v>0.25</v>
      </c>
      <c r="E997">
        <v>0.75</v>
      </c>
      <c r="F997">
        <v>323.14999999999998</v>
      </c>
      <c r="G997">
        <v>218.3</v>
      </c>
      <c r="H997">
        <f t="shared" si="60"/>
        <v>-5.47</v>
      </c>
      <c r="I997">
        <v>4.2112321579970352E-3</v>
      </c>
      <c r="J997" t="str">
        <f t="shared" si="61"/>
        <v>C[N+](C)(C)CCO.[Cl-]C(CCO)CO</v>
      </c>
      <c r="K997">
        <v>77</v>
      </c>
      <c r="M997">
        <f t="shared" si="62"/>
        <v>0.83775464848239545</v>
      </c>
      <c r="N997">
        <f t="shared" si="63"/>
        <v>-0.49926688699179822</v>
      </c>
    </row>
    <row r="998" spans="1:14" x14ac:dyDescent="0.35">
      <c r="A998">
        <v>996</v>
      </c>
      <c r="B998" t="s">
        <v>7</v>
      </c>
      <c r="C998" t="s">
        <v>36</v>
      </c>
      <c r="D998">
        <v>0.25</v>
      </c>
      <c r="E998">
        <v>0.75</v>
      </c>
      <c r="F998">
        <v>323.14999999999998</v>
      </c>
      <c r="G998">
        <v>325.2</v>
      </c>
      <c r="H998">
        <f t="shared" si="60"/>
        <v>-5.05</v>
      </c>
      <c r="I998">
        <v>6.4093334462563831E-3</v>
      </c>
      <c r="J998" t="str">
        <f t="shared" si="61"/>
        <v>C[N+](C)(C)CCO.[Cl-]C(CCO)CO</v>
      </c>
      <c r="K998">
        <v>77</v>
      </c>
      <c r="M998">
        <f t="shared" si="62"/>
        <v>0.83775464848239545</v>
      </c>
      <c r="N998">
        <f t="shared" si="63"/>
        <v>-0.43947926803479759</v>
      </c>
    </row>
    <row r="999" spans="1:14" x14ac:dyDescent="0.35">
      <c r="A999">
        <v>997</v>
      </c>
      <c r="B999" t="s">
        <v>7</v>
      </c>
      <c r="C999" t="s">
        <v>36</v>
      </c>
      <c r="D999">
        <v>0.25</v>
      </c>
      <c r="E999">
        <v>0.75</v>
      </c>
      <c r="F999">
        <v>323.14999999999998</v>
      </c>
      <c r="G999">
        <v>425.9</v>
      </c>
      <c r="H999">
        <f t="shared" si="60"/>
        <v>-4.7699999999999996</v>
      </c>
      <c r="I999">
        <v>8.4803801599532685E-3</v>
      </c>
      <c r="J999" t="str">
        <f t="shared" si="61"/>
        <v>C[N+](C)(C)CCO.[Cl-]C(CCO)CO</v>
      </c>
      <c r="K999">
        <v>77</v>
      </c>
      <c r="M999">
        <f t="shared" si="62"/>
        <v>0.83775464848239545</v>
      </c>
      <c r="N999">
        <f t="shared" si="63"/>
        <v>-0.3831592191202049</v>
      </c>
    </row>
    <row r="1000" spans="1:14" x14ac:dyDescent="0.35">
      <c r="A1000">
        <v>998</v>
      </c>
      <c r="B1000" t="s">
        <v>7</v>
      </c>
      <c r="C1000" t="s">
        <v>36</v>
      </c>
      <c r="D1000">
        <v>0.25</v>
      </c>
      <c r="E1000">
        <v>0.75</v>
      </c>
      <c r="F1000">
        <v>323.14999999999998</v>
      </c>
      <c r="G1000">
        <v>525.9</v>
      </c>
      <c r="H1000">
        <f t="shared" si="60"/>
        <v>-4.58</v>
      </c>
      <c r="I1000">
        <v>1.0254896296404022E-2</v>
      </c>
      <c r="J1000" t="str">
        <f t="shared" si="61"/>
        <v>C[N+](C)(C)CCO.[Cl-]C(CCO)CO</v>
      </c>
      <c r="K1000">
        <v>77</v>
      </c>
      <c r="M1000">
        <f t="shared" si="62"/>
        <v>0.83775464848239545</v>
      </c>
      <c r="N1000">
        <f t="shared" si="63"/>
        <v>-0.32723067004910983</v>
      </c>
    </row>
    <row r="1001" spans="1:14" x14ac:dyDescent="0.35">
      <c r="A1001">
        <v>999</v>
      </c>
      <c r="B1001" t="s">
        <v>7</v>
      </c>
      <c r="C1001" t="s">
        <v>37</v>
      </c>
      <c r="D1001">
        <v>0.25</v>
      </c>
      <c r="E1001">
        <v>0.75</v>
      </c>
      <c r="F1001">
        <v>293.14999999999998</v>
      </c>
      <c r="G1001">
        <v>114.3</v>
      </c>
      <c r="H1001">
        <f t="shared" si="60"/>
        <v>-5.78</v>
      </c>
      <c r="I1001">
        <v>3.0887154082367687E-3</v>
      </c>
      <c r="J1001" t="str">
        <f t="shared" si="61"/>
        <v>C[N+](C)(C)CCO.[Cl-]CC(C(C)O)O</v>
      </c>
      <c r="K1001">
        <v>87</v>
      </c>
      <c r="M1001">
        <f t="shared" si="62"/>
        <v>-1.5133953811599403</v>
      </c>
      <c r="N1001">
        <f t="shared" si="63"/>
        <v>-0.55743257802573709</v>
      </c>
    </row>
    <row r="1002" spans="1:14" x14ac:dyDescent="0.35">
      <c r="A1002">
        <v>1000</v>
      </c>
      <c r="B1002" t="s">
        <v>7</v>
      </c>
      <c r="C1002" t="s">
        <v>37</v>
      </c>
      <c r="D1002">
        <v>0.25</v>
      </c>
      <c r="E1002">
        <v>0.75</v>
      </c>
      <c r="F1002">
        <v>293.14999999999998</v>
      </c>
      <c r="G1002">
        <v>214</v>
      </c>
      <c r="H1002">
        <f t="shared" si="60"/>
        <v>-5.0999999999999996</v>
      </c>
      <c r="I1002">
        <v>6.0967465655156379E-3</v>
      </c>
      <c r="J1002" t="str">
        <f t="shared" si="61"/>
        <v>C[N+](C)(C)CCO.[Cl-]CC(C(C)O)O</v>
      </c>
      <c r="K1002">
        <v>87</v>
      </c>
      <c r="M1002">
        <f t="shared" si="62"/>
        <v>-1.5133953811599403</v>
      </c>
      <c r="N1002">
        <f t="shared" si="63"/>
        <v>-0.50167181460185528</v>
      </c>
    </row>
    <row r="1003" spans="1:14" x14ac:dyDescent="0.35">
      <c r="A1003">
        <v>1001</v>
      </c>
      <c r="B1003" t="s">
        <v>7</v>
      </c>
      <c r="C1003" t="s">
        <v>37</v>
      </c>
      <c r="D1003">
        <v>0.25</v>
      </c>
      <c r="E1003">
        <v>0.75</v>
      </c>
      <c r="F1003">
        <v>293.14999999999998</v>
      </c>
      <c r="G1003">
        <v>316.60000000000002</v>
      </c>
      <c r="H1003">
        <f t="shared" si="60"/>
        <v>-4.7</v>
      </c>
      <c r="I1003">
        <v>9.0952771016958155E-3</v>
      </c>
      <c r="J1003" t="str">
        <f t="shared" si="61"/>
        <v>C[N+](C)(C)CCO.[Cl-]CC(C(C)O)O</v>
      </c>
      <c r="K1003">
        <v>87</v>
      </c>
      <c r="M1003">
        <f t="shared" si="62"/>
        <v>-1.5133953811599403</v>
      </c>
      <c r="N1003">
        <f t="shared" si="63"/>
        <v>-0.44428912325491177</v>
      </c>
    </row>
    <row r="1004" spans="1:14" x14ac:dyDescent="0.35">
      <c r="A1004">
        <v>1002</v>
      </c>
      <c r="B1004" t="s">
        <v>7</v>
      </c>
      <c r="C1004" t="s">
        <v>37</v>
      </c>
      <c r="D1004">
        <v>0.25</v>
      </c>
      <c r="E1004">
        <v>0.75</v>
      </c>
      <c r="F1004">
        <v>293.14999999999998</v>
      </c>
      <c r="G1004">
        <v>407.9</v>
      </c>
      <c r="H1004">
        <f t="shared" si="60"/>
        <v>-4.4145498263794414</v>
      </c>
      <c r="I1004">
        <v>1.21E-2</v>
      </c>
      <c r="J1004" t="str">
        <f t="shared" si="61"/>
        <v>C[N+](C)(C)CCO.[Cl-]CC(C(C)O)O</v>
      </c>
      <c r="K1004">
        <v>87</v>
      </c>
      <c r="M1004">
        <f t="shared" si="62"/>
        <v>-1.5133953811599403</v>
      </c>
      <c r="N1004">
        <f t="shared" si="63"/>
        <v>-0.39322635795300198</v>
      </c>
    </row>
    <row r="1005" spans="1:14" x14ac:dyDescent="0.35">
      <c r="A1005">
        <v>1003</v>
      </c>
      <c r="B1005" t="s">
        <v>7</v>
      </c>
      <c r="C1005" t="s">
        <v>37</v>
      </c>
      <c r="D1005">
        <v>0.25</v>
      </c>
      <c r="E1005">
        <v>0.75</v>
      </c>
      <c r="F1005">
        <v>293.14999999999998</v>
      </c>
      <c r="G1005">
        <v>511.3</v>
      </c>
      <c r="H1005">
        <f t="shared" si="60"/>
        <v>-4.1864598511299063</v>
      </c>
      <c r="I1005">
        <v>1.52E-2</v>
      </c>
      <c r="J1005" t="str">
        <f t="shared" si="61"/>
        <v>C[N+](C)(C)CCO.[Cl-]CC(C(C)O)O</v>
      </c>
      <c r="K1005">
        <v>87</v>
      </c>
      <c r="M1005">
        <f t="shared" si="62"/>
        <v>-1.5133953811599403</v>
      </c>
      <c r="N1005">
        <f t="shared" si="63"/>
        <v>-0.33539623821348974</v>
      </c>
    </row>
    <row r="1006" spans="1:14" x14ac:dyDescent="0.35">
      <c r="A1006">
        <v>1004</v>
      </c>
      <c r="B1006" t="s">
        <v>7</v>
      </c>
      <c r="C1006" t="s">
        <v>37</v>
      </c>
      <c r="D1006">
        <v>0.25</v>
      </c>
      <c r="E1006">
        <v>0.75</v>
      </c>
      <c r="F1006">
        <v>303.14999999999998</v>
      </c>
      <c r="G1006">
        <v>114</v>
      </c>
      <c r="H1006">
        <f t="shared" si="60"/>
        <v>-5.88</v>
      </c>
      <c r="I1006">
        <v>2.7947852750368437E-3</v>
      </c>
      <c r="J1006" t="str">
        <f t="shared" si="61"/>
        <v>C[N+](C)(C)CCO.[Cl-]CC(C(C)O)O</v>
      </c>
      <c r="K1006">
        <v>87</v>
      </c>
      <c r="M1006">
        <f t="shared" si="62"/>
        <v>-0.72967870461249518</v>
      </c>
      <c r="N1006">
        <f t="shared" si="63"/>
        <v>-0.55760036367295041</v>
      </c>
    </row>
    <row r="1007" spans="1:14" x14ac:dyDescent="0.35">
      <c r="A1007">
        <v>1005</v>
      </c>
      <c r="B1007" t="s">
        <v>7</v>
      </c>
      <c r="C1007" t="s">
        <v>37</v>
      </c>
      <c r="D1007">
        <v>0.25</v>
      </c>
      <c r="E1007">
        <v>0.75</v>
      </c>
      <c r="F1007">
        <v>303.14999999999998</v>
      </c>
      <c r="G1007">
        <v>214.6</v>
      </c>
      <c r="H1007">
        <f t="shared" si="60"/>
        <v>-5.15</v>
      </c>
      <c r="I1007">
        <v>5.7994047268421414E-3</v>
      </c>
      <c r="J1007" t="str">
        <f t="shared" si="61"/>
        <v>C[N+](C)(C)CCO.[Cl-]CC(C(C)O)O</v>
      </c>
      <c r="K1007">
        <v>87</v>
      </c>
      <c r="M1007">
        <f t="shared" si="62"/>
        <v>-0.72967870461249518</v>
      </c>
      <c r="N1007">
        <f t="shared" si="63"/>
        <v>-0.50133624330742876</v>
      </c>
    </row>
    <row r="1008" spans="1:14" x14ac:dyDescent="0.35">
      <c r="A1008">
        <v>1006</v>
      </c>
      <c r="B1008" t="s">
        <v>7</v>
      </c>
      <c r="C1008" t="s">
        <v>37</v>
      </c>
      <c r="D1008">
        <v>0.25</v>
      </c>
      <c r="E1008">
        <v>0.75</v>
      </c>
      <c r="F1008">
        <v>303.14999999999998</v>
      </c>
      <c r="G1008">
        <v>315.2</v>
      </c>
      <c r="H1008">
        <f t="shared" si="60"/>
        <v>-4.8</v>
      </c>
      <c r="I1008">
        <v>8.2297470490200302E-3</v>
      </c>
      <c r="J1008" t="str">
        <f t="shared" si="61"/>
        <v>C[N+](C)(C)CCO.[Cl-]CC(C(C)O)O</v>
      </c>
      <c r="K1008">
        <v>87</v>
      </c>
      <c r="M1008">
        <f t="shared" si="62"/>
        <v>-0.72967870461249518</v>
      </c>
      <c r="N1008">
        <f t="shared" si="63"/>
        <v>-0.44507212294190707</v>
      </c>
    </row>
    <row r="1009" spans="1:14" x14ac:dyDescent="0.35">
      <c r="A1009">
        <v>1007</v>
      </c>
      <c r="B1009" t="s">
        <v>7</v>
      </c>
      <c r="C1009" t="s">
        <v>37</v>
      </c>
      <c r="D1009">
        <v>0.25</v>
      </c>
      <c r="E1009">
        <v>0.75</v>
      </c>
      <c r="F1009">
        <v>303.14999999999998</v>
      </c>
      <c r="G1009">
        <v>412.3</v>
      </c>
      <c r="H1009">
        <f t="shared" si="60"/>
        <v>-4.49</v>
      </c>
      <c r="I1009">
        <v>1.1220643809589084E-2</v>
      </c>
      <c r="J1009" t="str">
        <f t="shared" si="61"/>
        <v>C[N+](C)(C)CCO.[Cl-]CC(C(C)O)O</v>
      </c>
      <c r="K1009">
        <v>87</v>
      </c>
      <c r="M1009">
        <f t="shared" si="62"/>
        <v>-0.72967870461249518</v>
      </c>
      <c r="N1009">
        <f t="shared" si="63"/>
        <v>-0.39076550179387382</v>
      </c>
    </row>
    <row r="1010" spans="1:14" x14ac:dyDescent="0.35">
      <c r="A1010">
        <v>1008</v>
      </c>
      <c r="B1010" t="s">
        <v>7</v>
      </c>
      <c r="C1010" t="s">
        <v>37</v>
      </c>
      <c r="D1010">
        <v>0.25</v>
      </c>
      <c r="E1010">
        <v>0.75</v>
      </c>
      <c r="F1010">
        <v>303.14999999999998</v>
      </c>
      <c r="G1010">
        <v>513.4</v>
      </c>
      <c r="H1010">
        <f t="shared" si="60"/>
        <v>-4.2758664388454912</v>
      </c>
      <c r="I1010">
        <v>1.3899999999999999E-2</v>
      </c>
      <c r="J1010" t="str">
        <f t="shared" si="61"/>
        <v>C[N+](C)(C)CCO.[Cl-]CC(C(C)O)O</v>
      </c>
      <c r="K1010">
        <v>87</v>
      </c>
      <c r="M1010">
        <f t="shared" si="62"/>
        <v>-0.72967870461249518</v>
      </c>
      <c r="N1010">
        <f t="shared" si="63"/>
        <v>-0.33422173868299671</v>
      </c>
    </row>
    <row r="1011" spans="1:14" x14ac:dyDescent="0.35">
      <c r="A1011">
        <v>1009</v>
      </c>
      <c r="B1011" t="s">
        <v>7</v>
      </c>
      <c r="C1011" t="s">
        <v>37</v>
      </c>
      <c r="D1011">
        <v>0.25</v>
      </c>
      <c r="E1011">
        <v>0.75</v>
      </c>
      <c r="F1011">
        <v>313.14999999999998</v>
      </c>
      <c r="G1011">
        <v>119.3</v>
      </c>
      <c r="H1011">
        <f t="shared" si="60"/>
        <v>-5.84</v>
      </c>
      <c r="I1011">
        <v>2.9088426258125841E-3</v>
      </c>
      <c r="J1011" t="str">
        <f t="shared" si="61"/>
        <v>C[N+](C)(C)CCO.[Cl-]CC(C(C)O)O</v>
      </c>
      <c r="K1011">
        <v>87</v>
      </c>
      <c r="M1011">
        <f t="shared" si="62"/>
        <v>5.4037971934950142E-2</v>
      </c>
      <c r="N1011">
        <f t="shared" si="63"/>
        <v>-0.5546361505721823</v>
      </c>
    </row>
    <row r="1012" spans="1:14" x14ac:dyDescent="0.35">
      <c r="A1012">
        <v>1010</v>
      </c>
      <c r="B1012" t="s">
        <v>7</v>
      </c>
      <c r="C1012" t="s">
        <v>37</v>
      </c>
      <c r="D1012">
        <v>0.25</v>
      </c>
      <c r="E1012">
        <v>0.75</v>
      </c>
      <c r="F1012">
        <v>313.14999999999998</v>
      </c>
      <c r="G1012">
        <v>222.4</v>
      </c>
      <c r="H1012">
        <f t="shared" si="60"/>
        <v>-5.22</v>
      </c>
      <c r="I1012">
        <v>5.4073291264409599E-3</v>
      </c>
      <c r="J1012" t="str">
        <f t="shared" si="61"/>
        <v>C[N+](C)(C)CCO.[Cl-]CC(C(C)O)O</v>
      </c>
      <c r="K1012">
        <v>87</v>
      </c>
      <c r="M1012">
        <f t="shared" si="62"/>
        <v>5.4037971934950142E-2</v>
      </c>
      <c r="N1012">
        <f t="shared" si="63"/>
        <v>-0.49697381647988331</v>
      </c>
    </row>
    <row r="1013" spans="1:14" x14ac:dyDescent="0.35">
      <c r="A1013">
        <v>1011</v>
      </c>
      <c r="B1013" t="s">
        <v>7</v>
      </c>
      <c r="C1013" t="s">
        <v>37</v>
      </c>
      <c r="D1013">
        <v>0.25</v>
      </c>
      <c r="E1013">
        <v>0.75</v>
      </c>
      <c r="F1013">
        <v>313.14999999999998</v>
      </c>
      <c r="G1013">
        <v>325.5</v>
      </c>
      <c r="H1013">
        <f t="shared" si="60"/>
        <v>-4.84</v>
      </c>
      <c r="I1013">
        <v>7.9070540515934415E-3</v>
      </c>
      <c r="J1013" t="str">
        <f t="shared" si="61"/>
        <v>C[N+](C)(C)CCO.[Cl-]CC(C(C)O)O</v>
      </c>
      <c r="K1013">
        <v>87</v>
      </c>
      <c r="M1013">
        <f t="shared" si="62"/>
        <v>5.4037971934950142E-2</v>
      </c>
      <c r="N1013">
        <f t="shared" si="63"/>
        <v>-0.43931148238758433</v>
      </c>
    </row>
    <row r="1014" spans="1:14" x14ac:dyDescent="0.35">
      <c r="A1014">
        <v>1012</v>
      </c>
      <c r="B1014" t="s">
        <v>7</v>
      </c>
      <c r="C1014" t="s">
        <v>37</v>
      </c>
      <c r="D1014">
        <v>0.25</v>
      </c>
      <c r="E1014">
        <v>0.75</v>
      </c>
      <c r="F1014">
        <v>313.14999999999998</v>
      </c>
      <c r="G1014">
        <v>424.9</v>
      </c>
      <c r="H1014">
        <f t="shared" si="60"/>
        <v>-4.59</v>
      </c>
      <c r="I1014">
        <v>1.0152858373369763E-2</v>
      </c>
      <c r="J1014" t="str">
        <f t="shared" si="61"/>
        <v>C[N+](C)(C)CCO.[Cl-]CC(C(C)O)O</v>
      </c>
      <c r="K1014">
        <v>87</v>
      </c>
      <c r="M1014">
        <f t="shared" si="62"/>
        <v>5.4037971934950142E-2</v>
      </c>
      <c r="N1014">
        <f t="shared" si="63"/>
        <v>-0.38371850461091583</v>
      </c>
    </row>
    <row r="1015" spans="1:14" x14ac:dyDescent="0.35">
      <c r="A1015">
        <v>1013</v>
      </c>
      <c r="B1015" t="s">
        <v>7</v>
      </c>
      <c r="C1015" t="s">
        <v>37</v>
      </c>
      <c r="D1015">
        <v>0.25</v>
      </c>
      <c r="E1015">
        <v>0.75</v>
      </c>
      <c r="F1015">
        <v>313.14999999999998</v>
      </c>
      <c r="G1015">
        <v>528.79999999999995</v>
      </c>
      <c r="H1015">
        <f t="shared" si="60"/>
        <v>-4.37</v>
      </c>
      <c r="I1015">
        <v>1.2651240568005305E-2</v>
      </c>
      <c r="J1015" t="str">
        <f t="shared" si="61"/>
        <v>C[N+](C)(C)CCO.[Cl-]CC(C(C)O)O</v>
      </c>
      <c r="K1015">
        <v>87</v>
      </c>
      <c r="M1015">
        <f t="shared" si="62"/>
        <v>5.4037971934950142E-2</v>
      </c>
      <c r="N1015">
        <f t="shared" si="63"/>
        <v>-0.32560874212604812</v>
      </c>
    </row>
    <row r="1016" spans="1:14" x14ac:dyDescent="0.35">
      <c r="A1016">
        <v>1014</v>
      </c>
      <c r="B1016" t="s">
        <v>7</v>
      </c>
      <c r="C1016" t="s">
        <v>37</v>
      </c>
      <c r="D1016">
        <v>0.25</v>
      </c>
      <c r="E1016">
        <v>0.75</v>
      </c>
      <c r="F1016">
        <v>323.14999999999998</v>
      </c>
      <c r="G1016">
        <v>124</v>
      </c>
      <c r="H1016">
        <f t="shared" si="60"/>
        <v>-5.95</v>
      </c>
      <c r="I1016">
        <v>2.6058405184084983E-3</v>
      </c>
      <c r="J1016" t="str">
        <f t="shared" si="61"/>
        <v>C[N+](C)(C)CCO.[Cl-]CC(C(C)O)O</v>
      </c>
      <c r="K1016">
        <v>87</v>
      </c>
      <c r="M1016">
        <f t="shared" si="62"/>
        <v>0.83775464848239545</v>
      </c>
      <c r="N1016">
        <f t="shared" si="63"/>
        <v>-0.55200750876584082</v>
      </c>
    </row>
    <row r="1017" spans="1:14" x14ac:dyDescent="0.35">
      <c r="A1017">
        <v>1015</v>
      </c>
      <c r="B1017" t="s">
        <v>7</v>
      </c>
      <c r="C1017" t="s">
        <v>37</v>
      </c>
      <c r="D1017">
        <v>0.25</v>
      </c>
      <c r="E1017">
        <v>0.75</v>
      </c>
      <c r="F1017">
        <v>323.14999999999998</v>
      </c>
      <c r="G1017">
        <v>217</v>
      </c>
      <c r="H1017">
        <f t="shared" si="60"/>
        <v>-5.36</v>
      </c>
      <c r="I1017">
        <v>4.700906107583276E-3</v>
      </c>
      <c r="J1017" t="str">
        <f t="shared" si="61"/>
        <v>C[N+](C)(C)CCO.[Cl-]CC(C(C)O)O</v>
      </c>
      <c r="K1017">
        <v>87</v>
      </c>
      <c r="M1017">
        <f t="shared" si="62"/>
        <v>0.83775464848239545</v>
      </c>
      <c r="N1017">
        <f t="shared" si="63"/>
        <v>-0.49999395812972247</v>
      </c>
    </row>
    <row r="1018" spans="1:14" x14ac:dyDescent="0.35">
      <c r="A1018">
        <v>1016</v>
      </c>
      <c r="B1018" t="s">
        <v>7</v>
      </c>
      <c r="C1018" t="s">
        <v>37</v>
      </c>
      <c r="D1018">
        <v>0.25</v>
      </c>
      <c r="E1018">
        <v>0.75</v>
      </c>
      <c r="F1018">
        <v>323.14999999999998</v>
      </c>
      <c r="G1018">
        <v>322</v>
      </c>
      <c r="H1018">
        <f t="shared" si="60"/>
        <v>-4.95</v>
      </c>
      <c r="I1018">
        <v>7.0834089290521185E-3</v>
      </c>
      <c r="J1018" t="str">
        <f t="shared" si="61"/>
        <v>C[N+](C)(C)CCO.[Cl-]CC(C(C)O)O</v>
      </c>
      <c r="K1018">
        <v>87</v>
      </c>
      <c r="M1018">
        <f t="shared" si="62"/>
        <v>0.83775464848239545</v>
      </c>
      <c r="N1018">
        <f t="shared" si="63"/>
        <v>-0.44126898160507266</v>
      </c>
    </row>
    <row r="1019" spans="1:14" x14ac:dyDescent="0.35">
      <c r="A1019">
        <v>1017</v>
      </c>
      <c r="B1019" t="s">
        <v>7</v>
      </c>
      <c r="C1019" t="s">
        <v>37</v>
      </c>
      <c r="D1019">
        <v>0.25</v>
      </c>
      <c r="E1019">
        <v>0.75</v>
      </c>
      <c r="F1019">
        <v>323.14999999999998</v>
      </c>
      <c r="G1019">
        <v>421.5</v>
      </c>
      <c r="H1019">
        <f t="shared" si="60"/>
        <v>-4.6900000000000004</v>
      </c>
      <c r="I1019">
        <v>9.1866861562446642E-3</v>
      </c>
      <c r="J1019" t="str">
        <f t="shared" si="61"/>
        <v>C[N+](C)(C)CCO.[Cl-]CC(C(C)O)O</v>
      </c>
      <c r="K1019">
        <v>87</v>
      </c>
      <c r="M1019">
        <f t="shared" si="62"/>
        <v>0.83775464848239545</v>
      </c>
      <c r="N1019">
        <f t="shared" si="63"/>
        <v>-0.38562007527933306</v>
      </c>
    </row>
    <row r="1020" spans="1:14" x14ac:dyDescent="0.35">
      <c r="A1020">
        <v>1018</v>
      </c>
      <c r="B1020" t="s">
        <v>7</v>
      </c>
      <c r="C1020" t="s">
        <v>37</v>
      </c>
      <c r="D1020">
        <v>0.25</v>
      </c>
      <c r="E1020">
        <v>0.75</v>
      </c>
      <c r="F1020">
        <v>323.14999999999998</v>
      </c>
      <c r="G1020">
        <v>514.1</v>
      </c>
      <c r="H1020">
        <f t="shared" si="60"/>
        <v>-4.46</v>
      </c>
      <c r="I1020">
        <v>1.1562363287468536E-2</v>
      </c>
      <c r="J1020" t="str">
        <f t="shared" si="61"/>
        <v>C[N+](C)(C)CCO.[Cl-]CC(C(C)O)O</v>
      </c>
      <c r="K1020">
        <v>87</v>
      </c>
      <c r="M1020">
        <f t="shared" si="62"/>
        <v>0.83775464848239545</v>
      </c>
      <c r="N1020">
        <f t="shared" si="63"/>
        <v>-0.33383023883949903</v>
      </c>
    </row>
    <row r="1021" spans="1:14" x14ac:dyDescent="0.35">
      <c r="A1021">
        <v>1019</v>
      </c>
      <c r="B1021" t="s">
        <v>7</v>
      </c>
      <c r="C1021" t="s">
        <v>35</v>
      </c>
      <c r="D1021">
        <v>0.25</v>
      </c>
      <c r="E1021">
        <v>0.75</v>
      </c>
      <c r="F1021">
        <v>293.14999999999998</v>
      </c>
      <c r="G1021">
        <v>108.5</v>
      </c>
      <c r="H1021">
        <f t="shared" si="60"/>
        <v>-5.71</v>
      </c>
      <c r="I1021">
        <v>3.3126725448998926E-3</v>
      </c>
      <c r="J1021" t="str">
        <f t="shared" si="61"/>
        <v>C[N+](C)(C)CCO.[Cl-]CC(CO)O</v>
      </c>
      <c r="K1021">
        <v>88</v>
      </c>
      <c r="M1021">
        <f t="shared" si="62"/>
        <v>-1.5133953811599403</v>
      </c>
      <c r="N1021">
        <f t="shared" si="63"/>
        <v>-0.56067643387186061</v>
      </c>
    </row>
    <row r="1022" spans="1:14" x14ac:dyDescent="0.35">
      <c r="A1022">
        <v>1020</v>
      </c>
      <c r="B1022" t="s">
        <v>7</v>
      </c>
      <c r="C1022" t="s">
        <v>35</v>
      </c>
      <c r="D1022">
        <v>0.25</v>
      </c>
      <c r="E1022">
        <v>0.75</v>
      </c>
      <c r="F1022">
        <v>293.14999999999998</v>
      </c>
      <c r="G1022">
        <v>204.7</v>
      </c>
      <c r="H1022">
        <f t="shared" si="60"/>
        <v>-5.07</v>
      </c>
      <c r="I1022">
        <v>6.2824201408011177E-3</v>
      </c>
      <c r="J1022" t="str">
        <f t="shared" si="61"/>
        <v>C[N+](C)(C)CCO.[Cl-]CC(CO)O</v>
      </c>
      <c r="K1022">
        <v>88</v>
      </c>
      <c r="M1022">
        <f t="shared" si="62"/>
        <v>-1.5133953811599403</v>
      </c>
      <c r="N1022">
        <f t="shared" si="63"/>
        <v>-0.50687316966546714</v>
      </c>
    </row>
    <row r="1023" spans="1:14" x14ac:dyDescent="0.35">
      <c r="A1023">
        <v>1021</v>
      </c>
      <c r="B1023" t="s">
        <v>7</v>
      </c>
      <c r="C1023" t="s">
        <v>35</v>
      </c>
      <c r="D1023">
        <v>0.25</v>
      </c>
      <c r="E1023">
        <v>0.75</v>
      </c>
      <c r="F1023">
        <v>293.14999999999998</v>
      </c>
      <c r="G1023">
        <v>312.2</v>
      </c>
      <c r="H1023">
        <f t="shared" si="60"/>
        <v>-4.63</v>
      </c>
      <c r="I1023">
        <v>9.7547591023429032E-3</v>
      </c>
      <c r="J1023" t="str">
        <f t="shared" si="61"/>
        <v>C[N+](C)(C)CCO.[Cl-]CC(CO)O</v>
      </c>
      <c r="K1023">
        <v>88</v>
      </c>
      <c r="M1023">
        <f t="shared" si="62"/>
        <v>-1.5133953811599403</v>
      </c>
      <c r="N1023">
        <f t="shared" si="63"/>
        <v>-0.44674997941403993</v>
      </c>
    </row>
    <row r="1024" spans="1:14" x14ac:dyDescent="0.35">
      <c r="A1024">
        <v>1022</v>
      </c>
      <c r="B1024" t="s">
        <v>7</v>
      </c>
      <c r="C1024" t="s">
        <v>35</v>
      </c>
      <c r="D1024">
        <v>0.25</v>
      </c>
      <c r="E1024">
        <v>0.75</v>
      </c>
      <c r="F1024">
        <v>293.14999999999998</v>
      </c>
      <c r="G1024">
        <v>408.8</v>
      </c>
      <c r="H1024">
        <f t="shared" si="60"/>
        <v>-4.3351430487750315</v>
      </c>
      <c r="I1024">
        <v>1.3100000000000001E-2</v>
      </c>
      <c r="J1024" t="str">
        <f t="shared" si="61"/>
        <v>C[N+](C)(C)CCO.[Cl-]CC(CO)O</v>
      </c>
      <c r="K1024">
        <v>88</v>
      </c>
      <c r="M1024">
        <f t="shared" si="62"/>
        <v>-1.5133953811599403</v>
      </c>
      <c r="N1024">
        <f t="shared" si="63"/>
        <v>-0.39272300101136215</v>
      </c>
    </row>
    <row r="1025" spans="1:14" x14ac:dyDescent="0.35">
      <c r="A1025">
        <v>1023</v>
      </c>
      <c r="B1025" t="s">
        <v>7</v>
      </c>
      <c r="C1025" t="s">
        <v>35</v>
      </c>
      <c r="D1025">
        <v>0.25</v>
      </c>
      <c r="E1025">
        <v>0.75</v>
      </c>
      <c r="F1025">
        <v>293.14999999999998</v>
      </c>
      <c r="G1025">
        <v>514.5</v>
      </c>
      <c r="H1025">
        <f t="shared" si="60"/>
        <v>-4.1043948980756024</v>
      </c>
      <c r="I1025">
        <v>1.6500000000000001E-2</v>
      </c>
      <c r="J1025" t="str">
        <f t="shared" si="61"/>
        <v>C[N+](C)(C)CCO.[Cl-]CC(CO)O</v>
      </c>
      <c r="K1025">
        <v>88</v>
      </c>
      <c r="M1025">
        <f t="shared" si="62"/>
        <v>-1.5133953811599403</v>
      </c>
      <c r="N1025">
        <f t="shared" si="63"/>
        <v>-0.33360652464321466</v>
      </c>
    </row>
    <row r="1026" spans="1:14" x14ac:dyDescent="0.35">
      <c r="A1026">
        <v>1024</v>
      </c>
      <c r="B1026" t="s">
        <v>7</v>
      </c>
      <c r="C1026" t="s">
        <v>35</v>
      </c>
      <c r="D1026">
        <v>0.25</v>
      </c>
      <c r="E1026">
        <v>0.75</v>
      </c>
      <c r="F1026">
        <v>303.14999999999998</v>
      </c>
      <c r="G1026">
        <v>117.5</v>
      </c>
      <c r="H1026">
        <f t="shared" si="60"/>
        <v>-5.88</v>
      </c>
      <c r="I1026">
        <v>2.7947852750368437E-3</v>
      </c>
      <c r="J1026" t="str">
        <f t="shared" si="61"/>
        <v>C[N+](C)(C)CCO.[Cl-]CC(CO)O</v>
      </c>
      <c r="K1026">
        <v>88</v>
      </c>
      <c r="M1026">
        <f t="shared" si="62"/>
        <v>-0.72967870461249518</v>
      </c>
      <c r="N1026">
        <f t="shared" si="63"/>
        <v>-0.55564286445546207</v>
      </c>
    </row>
    <row r="1027" spans="1:14" x14ac:dyDescent="0.35">
      <c r="A1027">
        <v>1025</v>
      </c>
      <c r="B1027" t="s">
        <v>7</v>
      </c>
      <c r="C1027" t="s">
        <v>35</v>
      </c>
      <c r="D1027">
        <v>0.25</v>
      </c>
      <c r="E1027">
        <v>0.75</v>
      </c>
      <c r="F1027">
        <v>303.14999999999998</v>
      </c>
      <c r="G1027">
        <v>222.1</v>
      </c>
      <c r="H1027">
        <f t="shared" ref="H1027:H1090" si="64">LN(I1027)</f>
        <v>-5.12</v>
      </c>
      <c r="I1027">
        <v>5.9760228950059427E-3</v>
      </c>
      <c r="J1027" t="str">
        <f t="shared" ref="J1027:J1090" si="65">_xlfn.CONCAT(B1027,C1027)</f>
        <v>C[N+](C)(C)CCO.[Cl-]CC(CO)O</v>
      </c>
      <c r="K1027">
        <v>88</v>
      </c>
      <c r="M1027">
        <f t="shared" ref="M1027:M1090" si="66">(F1027-$L$3)/$L$2</f>
        <v>-0.72967870461249518</v>
      </c>
      <c r="N1027">
        <f t="shared" ref="N1027:N1090" si="67">(G1027-$L$6)/$L$5</f>
        <v>-0.49714160212709657</v>
      </c>
    </row>
    <row r="1028" spans="1:14" x14ac:dyDescent="0.35">
      <c r="A1028">
        <v>1026</v>
      </c>
      <c r="B1028" t="s">
        <v>7</v>
      </c>
      <c r="C1028" t="s">
        <v>35</v>
      </c>
      <c r="D1028">
        <v>0.25</v>
      </c>
      <c r="E1028">
        <v>0.75</v>
      </c>
      <c r="F1028">
        <v>303.14999999999998</v>
      </c>
      <c r="G1028">
        <v>317</v>
      </c>
      <c r="H1028">
        <f t="shared" si="64"/>
        <v>-4.78</v>
      </c>
      <c r="I1028">
        <v>8.3959989674914706E-3</v>
      </c>
      <c r="J1028" t="str">
        <f t="shared" si="65"/>
        <v>C[N+](C)(C)CCO.[Cl-]CC(CO)O</v>
      </c>
      <c r="K1028">
        <v>88</v>
      </c>
      <c r="M1028">
        <f t="shared" si="66"/>
        <v>-0.72967870461249518</v>
      </c>
      <c r="N1028">
        <f t="shared" si="67"/>
        <v>-0.4440654090586274</v>
      </c>
    </row>
    <row r="1029" spans="1:14" x14ac:dyDescent="0.35">
      <c r="A1029">
        <v>1027</v>
      </c>
      <c r="B1029" t="s">
        <v>7</v>
      </c>
      <c r="C1029" t="s">
        <v>35</v>
      </c>
      <c r="D1029">
        <v>0.25</v>
      </c>
      <c r="E1029">
        <v>0.75</v>
      </c>
      <c r="F1029">
        <v>303.14999999999998</v>
      </c>
      <c r="G1029">
        <v>422</v>
      </c>
      <c r="H1029">
        <f t="shared" si="64"/>
        <v>-4.4800000000000004</v>
      </c>
      <c r="I1029">
        <v>1.1333413154667387E-2</v>
      </c>
      <c r="J1029" t="str">
        <f t="shared" si="65"/>
        <v>C[N+](C)(C)CCO.[Cl-]CC(CO)O</v>
      </c>
      <c r="K1029">
        <v>88</v>
      </c>
      <c r="M1029">
        <f t="shared" si="66"/>
        <v>-0.72967870461249518</v>
      </c>
      <c r="N1029">
        <f t="shared" si="67"/>
        <v>-0.38534043253397759</v>
      </c>
    </row>
    <row r="1030" spans="1:14" x14ac:dyDescent="0.35">
      <c r="A1030">
        <v>1028</v>
      </c>
      <c r="B1030" t="s">
        <v>7</v>
      </c>
      <c r="C1030" t="s">
        <v>35</v>
      </c>
      <c r="D1030">
        <v>0.25</v>
      </c>
      <c r="E1030">
        <v>0.75</v>
      </c>
      <c r="F1030">
        <v>303.14999999999998</v>
      </c>
      <c r="G1030">
        <v>517</v>
      </c>
      <c r="H1030">
        <f t="shared" si="64"/>
        <v>-4.2699999999999996</v>
      </c>
      <c r="I1030">
        <v>1.3981783153338308E-2</v>
      </c>
      <c r="J1030" t="str">
        <f t="shared" si="65"/>
        <v>C[N+](C)(C)CCO.[Cl-]CC(CO)O</v>
      </c>
      <c r="K1030">
        <v>88</v>
      </c>
      <c r="M1030">
        <f t="shared" si="66"/>
        <v>-0.72967870461249518</v>
      </c>
      <c r="N1030">
        <f t="shared" si="67"/>
        <v>-0.33220831091643732</v>
      </c>
    </row>
    <row r="1031" spans="1:14" x14ac:dyDescent="0.35">
      <c r="A1031">
        <v>1029</v>
      </c>
      <c r="B1031" t="s">
        <v>7</v>
      </c>
      <c r="C1031" t="s">
        <v>35</v>
      </c>
      <c r="D1031">
        <v>0.25</v>
      </c>
      <c r="E1031">
        <v>0.75</v>
      </c>
      <c r="F1031">
        <v>313.14999999999998</v>
      </c>
      <c r="G1031">
        <v>125.4</v>
      </c>
      <c r="H1031">
        <f t="shared" si="64"/>
        <v>-6.03</v>
      </c>
      <c r="I1031">
        <v>2.4054939786195095E-3</v>
      </c>
      <c r="J1031" t="str">
        <f t="shared" si="65"/>
        <v>C[N+](C)(C)CCO.[Cl-]CC(CO)O</v>
      </c>
      <c r="K1031">
        <v>88</v>
      </c>
      <c r="M1031">
        <f t="shared" si="66"/>
        <v>5.4037971934950142E-2</v>
      </c>
      <c r="N1031">
        <f t="shared" si="67"/>
        <v>-0.55122450907884557</v>
      </c>
    </row>
    <row r="1032" spans="1:14" x14ac:dyDescent="0.35">
      <c r="A1032">
        <v>1030</v>
      </c>
      <c r="B1032" t="s">
        <v>7</v>
      </c>
      <c r="C1032" t="s">
        <v>35</v>
      </c>
      <c r="D1032">
        <v>0.25</v>
      </c>
      <c r="E1032">
        <v>0.75</v>
      </c>
      <c r="F1032">
        <v>313.14999999999998</v>
      </c>
      <c r="G1032">
        <v>217.8</v>
      </c>
      <c r="H1032">
        <f t="shared" si="64"/>
        <v>-5.43</v>
      </c>
      <c r="I1032">
        <v>4.3830958026687761E-3</v>
      </c>
      <c r="J1032" t="str">
        <f t="shared" si="65"/>
        <v>C[N+](C)(C)CCO.[Cl-]CC(CO)O</v>
      </c>
      <c r="K1032">
        <v>88</v>
      </c>
      <c r="M1032">
        <f t="shared" si="66"/>
        <v>5.4037971934950142E-2</v>
      </c>
      <c r="N1032">
        <f t="shared" si="67"/>
        <v>-0.49954652973715374</v>
      </c>
    </row>
    <row r="1033" spans="1:14" x14ac:dyDescent="0.35">
      <c r="A1033">
        <v>1031</v>
      </c>
      <c r="B1033" t="s">
        <v>7</v>
      </c>
      <c r="C1033" t="s">
        <v>35</v>
      </c>
      <c r="D1033">
        <v>0.25</v>
      </c>
      <c r="E1033">
        <v>0.75</v>
      </c>
      <c r="F1033">
        <v>313.14999999999998</v>
      </c>
      <c r="G1033">
        <v>317.60000000000002</v>
      </c>
      <c r="H1033">
        <f t="shared" si="64"/>
        <v>-5.01</v>
      </c>
      <c r="I1033">
        <v>6.6709033062552743E-3</v>
      </c>
      <c r="J1033" t="str">
        <f t="shared" si="65"/>
        <v>C[N+](C)(C)CCO.[Cl-]CC(CO)O</v>
      </c>
      <c r="K1033">
        <v>88</v>
      </c>
      <c r="M1033">
        <f t="shared" si="66"/>
        <v>5.4037971934950142E-2</v>
      </c>
      <c r="N1033">
        <f t="shared" si="67"/>
        <v>-0.44372983776420083</v>
      </c>
    </row>
    <row r="1034" spans="1:14" x14ac:dyDescent="0.35">
      <c r="A1034">
        <v>1032</v>
      </c>
      <c r="B1034" t="s">
        <v>7</v>
      </c>
      <c r="C1034" t="s">
        <v>35</v>
      </c>
      <c r="D1034">
        <v>0.25</v>
      </c>
      <c r="E1034">
        <v>0.75</v>
      </c>
      <c r="F1034">
        <v>313.14999999999998</v>
      </c>
      <c r="G1034">
        <v>420.5</v>
      </c>
      <c r="H1034">
        <f t="shared" si="64"/>
        <v>-4.68</v>
      </c>
      <c r="I1034">
        <v>9.2790138870647437E-3</v>
      </c>
      <c r="J1034" t="str">
        <f t="shared" si="65"/>
        <v>C[N+](C)(C)CCO.[Cl-]CC(CO)O</v>
      </c>
      <c r="K1034">
        <v>88</v>
      </c>
      <c r="M1034">
        <f t="shared" si="66"/>
        <v>5.4037971934950142E-2</v>
      </c>
      <c r="N1034">
        <f t="shared" si="67"/>
        <v>-0.386179360770044</v>
      </c>
    </row>
    <row r="1035" spans="1:14" x14ac:dyDescent="0.35">
      <c r="A1035">
        <v>1033</v>
      </c>
      <c r="B1035" t="s">
        <v>7</v>
      </c>
      <c r="C1035" t="s">
        <v>35</v>
      </c>
      <c r="D1035">
        <v>0.25</v>
      </c>
      <c r="E1035">
        <v>0.75</v>
      </c>
      <c r="F1035">
        <v>313.14999999999998</v>
      </c>
      <c r="G1035">
        <v>515.4</v>
      </c>
      <c r="H1035">
        <f t="shared" si="64"/>
        <v>-4.4654082436129325</v>
      </c>
      <c r="I1035">
        <v>1.15E-2</v>
      </c>
      <c r="J1035" t="str">
        <f t="shared" si="65"/>
        <v>C[N+](C)(C)CCO.[Cl-]CC(CO)O</v>
      </c>
      <c r="K1035">
        <v>88</v>
      </c>
      <c r="M1035">
        <f t="shared" si="66"/>
        <v>5.4037971934950142E-2</v>
      </c>
      <c r="N1035">
        <f t="shared" si="67"/>
        <v>-0.33310316770157483</v>
      </c>
    </row>
    <row r="1036" spans="1:14" x14ac:dyDescent="0.35">
      <c r="A1036">
        <v>1034</v>
      </c>
      <c r="B1036" t="s">
        <v>7</v>
      </c>
      <c r="C1036" t="s">
        <v>35</v>
      </c>
      <c r="D1036">
        <v>0.25</v>
      </c>
      <c r="E1036">
        <v>0.75</v>
      </c>
      <c r="F1036">
        <v>323.14999999999998</v>
      </c>
      <c r="G1036">
        <v>123</v>
      </c>
      <c r="H1036">
        <f t="shared" si="64"/>
        <v>-6.27</v>
      </c>
      <c r="I1036">
        <v>1.8922285832099397E-3</v>
      </c>
      <c r="J1036" t="str">
        <f t="shared" si="65"/>
        <v>C[N+](C)(C)CCO.[Cl-]CC(CO)O</v>
      </c>
      <c r="K1036">
        <v>88</v>
      </c>
      <c r="M1036">
        <f t="shared" si="66"/>
        <v>0.83775464848239545</v>
      </c>
      <c r="N1036">
        <f t="shared" si="67"/>
        <v>-0.55256679425655175</v>
      </c>
    </row>
    <row r="1037" spans="1:14" x14ac:dyDescent="0.35">
      <c r="A1037">
        <v>1035</v>
      </c>
      <c r="B1037" t="s">
        <v>7</v>
      </c>
      <c r="C1037" t="s">
        <v>35</v>
      </c>
      <c r="D1037">
        <v>0.25</v>
      </c>
      <c r="E1037">
        <v>0.75</v>
      </c>
      <c r="F1037">
        <v>323.14999999999998</v>
      </c>
      <c r="G1037">
        <v>236</v>
      </c>
      <c r="H1037">
        <f t="shared" si="64"/>
        <v>-5.55</v>
      </c>
      <c r="I1037">
        <v>3.8874572434761303E-3</v>
      </c>
      <c r="J1037" t="str">
        <f t="shared" si="65"/>
        <v>C[N+](C)(C)CCO.[Cl-]CC(CO)O</v>
      </c>
      <c r="K1037">
        <v>88</v>
      </c>
      <c r="M1037">
        <f t="shared" si="66"/>
        <v>0.83775464848239545</v>
      </c>
      <c r="N1037">
        <f t="shared" si="67"/>
        <v>-0.48936753380621439</v>
      </c>
    </row>
    <row r="1038" spans="1:14" x14ac:dyDescent="0.35">
      <c r="A1038">
        <v>1036</v>
      </c>
      <c r="B1038" t="s">
        <v>7</v>
      </c>
      <c r="C1038" t="s">
        <v>35</v>
      </c>
      <c r="D1038">
        <v>0.25</v>
      </c>
      <c r="E1038">
        <v>0.75</v>
      </c>
      <c r="F1038">
        <v>323.14999999999998</v>
      </c>
      <c r="G1038">
        <v>334.3</v>
      </c>
      <c r="H1038">
        <f t="shared" si="64"/>
        <v>-5.13</v>
      </c>
      <c r="I1038">
        <v>5.9165604736818572E-3</v>
      </c>
      <c r="J1038" t="str">
        <f t="shared" si="65"/>
        <v>C[N+](C)(C)CCO.[Cl-]CC(CO)O</v>
      </c>
      <c r="K1038">
        <v>88</v>
      </c>
      <c r="M1038">
        <f t="shared" si="66"/>
        <v>0.83775464848239545</v>
      </c>
      <c r="N1038">
        <f t="shared" si="67"/>
        <v>-0.434389770069328</v>
      </c>
    </row>
    <row r="1039" spans="1:14" x14ac:dyDescent="0.35">
      <c r="A1039">
        <v>1037</v>
      </c>
      <c r="B1039" t="s">
        <v>7</v>
      </c>
      <c r="C1039" t="s">
        <v>35</v>
      </c>
      <c r="D1039">
        <v>0.25</v>
      </c>
      <c r="E1039">
        <v>0.75</v>
      </c>
      <c r="F1039">
        <v>323.14999999999998</v>
      </c>
      <c r="G1039">
        <v>426.3</v>
      </c>
      <c r="H1039">
        <f t="shared" si="64"/>
        <v>-4.8499999999999996</v>
      </c>
      <c r="I1039">
        <v>7.8283775492257734E-3</v>
      </c>
      <c r="J1039" t="str">
        <f t="shared" si="65"/>
        <v>C[N+](C)(C)CCO.[Cl-]CC(CO)O</v>
      </c>
      <c r="K1039">
        <v>88</v>
      </c>
      <c r="M1039">
        <f t="shared" si="66"/>
        <v>0.83775464848239545</v>
      </c>
      <c r="N1039">
        <f t="shared" si="67"/>
        <v>-0.38293550492392053</v>
      </c>
    </row>
    <row r="1040" spans="1:14" x14ac:dyDescent="0.35">
      <c r="A1040">
        <v>1038</v>
      </c>
      <c r="B1040" t="s">
        <v>7</v>
      </c>
      <c r="C1040" t="s">
        <v>35</v>
      </c>
      <c r="D1040">
        <v>0.25</v>
      </c>
      <c r="E1040">
        <v>0.75</v>
      </c>
      <c r="F1040">
        <v>323.14999999999998</v>
      </c>
      <c r="G1040">
        <v>524.70000000000005</v>
      </c>
      <c r="H1040">
        <f t="shared" si="64"/>
        <v>-4.67</v>
      </c>
      <c r="I1040">
        <v>9.3722695270060576E-3</v>
      </c>
      <c r="J1040" t="str">
        <f t="shared" si="65"/>
        <v>C[N+](C)(C)CCO.[Cl-]CC(CO)O</v>
      </c>
      <c r="K1040">
        <v>88</v>
      </c>
      <c r="M1040">
        <f t="shared" si="66"/>
        <v>0.83775464848239545</v>
      </c>
      <c r="N1040">
        <f t="shared" si="67"/>
        <v>-0.32790181263796297</v>
      </c>
    </row>
    <row r="1041" spans="1:14" x14ac:dyDescent="0.35">
      <c r="A1041">
        <v>1039</v>
      </c>
      <c r="B1041" t="s">
        <v>7</v>
      </c>
      <c r="C1041" t="s">
        <v>45</v>
      </c>
      <c r="D1041">
        <v>0.25</v>
      </c>
      <c r="E1041">
        <v>0.75</v>
      </c>
      <c r="F1041">
        <v>303.14999999999998</v>
      </c>
      <c r="G1041">
        <v>564.20000000000005</v>
      </c>
      <c r="H1041">
        <f t="shared" si="64"/>
        <v>-4.01</v>
      </c>
      <c r="I1041">
        <v>1.8133395236801075E-2</v>
      </c>
      <c r="J1041" t="str">
        <f t="shared" si="65"/>
        <v>C[N+](C)(C)CCO.[Cl-]C(COCCO)O</v>
      </c>
      <c r="K1041">
        <v>82</v>
      </c>
      <c r="M1041">
        <f t="shared" si="66"/>
        <v>-0.72967870461249518</v>
      </c>
      <c r="N1041">
        <f t="shared" si="67"/>
        <v>-0.30581003575488042</v>
      </c>
    </row>
    <row r="1042" spans="1:14" x14ac:dyDescent="0.35">
      <c r="A1042">
        <v>1040</v>
      </c>
      <c r="B1042" t="s">
        <v>7</v>
      </c>
      <c r="C1042" t="s">
        <v>45</v>
      </c>
      <c r="D1042">
        <v>0.25</v>
      </c>
      <c r="E1042">
        <v>0.75</v>
      </c>
      <c r="F1042">
        <v>303.14999999999998</v>
      </c>
      <c r="G1042">
        <v>678.3</v>
      </c>
      <c r="H1042">
        <f t="shared" si="64"/>
        <v>-3.83</v>
      </c>
      <c r="I1042">
        <v>2.1709615629848571E-2</v>
      </c>
      <c r="J1042" t="str">
        <f t="shared" si="65"/>
        <v>C[N+](C)(C)CCO.[Cl-]C(COCCO)O</v>
      </c>
      <c r="K1042">
        <v>82</v>
      </c>
      <c r="M1042">
        <f t="shared" si="66"/>
        <v>-0.72967870461249518</v>
      </c>
      <c r="N1042">
        <f t="shared" si="67"/>
        <v>-0.24199556126476099</v>
      </c>
    </row>
    <row r="1043" spans="1:14" x14ac:dyDescent="0.35">
      <c r="A1043">
        <v>1041</v>
      </c>
      <c r="B1043" t="s">
        <v>7</v>
      </c>
      <c r="C1043" t="s">
        <v>45</v>
      </c>
      <c r="D1043">
        <v>0.25</v>
      </c>
      <c r="E1043">
        <v>0.75</v>
      </c>
      <c r="F1043">
        <v>303.14999999999998</v>
      </c>
      <c r="G1043">
        <v>735.6</v>
      </c>
      <c r="H1043">
        <f t="shared" si="64"/>
        <v>-3.7465085669505727</v>
      </c>
      <c r="I1043">
        <v>2.3599999999999999E-2</v>
      </c>
      <c r="J1043" t="str">
        <f t="shared" si="65"/>
        <v>C[N+](C)(C)CCO.[Cl-]C(COCCO)O</v>
      </c>
      <c r="K1043">
        <v>82</v>
      </c>
      <c r="M1043">
        <f t="shared" si="66"/>
        <v>-0.72967870461249518</v>
      </c>
      <c r="N1043">
        <f t="shared" si="67"/>
        <v>-0.2099485026470235</v>
      </c>
    </row>
    <row r="1044" spans="1:14" x14ac:dyDescent="0.35">
      <c r="A1044">
        <v>1042</v>
      </c>
      <c r="B1044" t="s">
        <v>7</v>
      </c>
      <c r="C1044" t="s">
        <v>45</v>
      </c>
      <c r="D1044">
        <v>0.25</v>
      </c>
      <c r="E1044">
        <v>0.75</v>
      </c>
      <c r="F1044">
        <v>303.14999999999998</v>
      </c>
      <c r="G1044">
        <v>865.3</v>
      </c>
      <c r="H1044">
        <f t="shared" si="64"/>
        <v>-3.59</v>
      </c>
      <c r="I1044">
        <v>2.7598330423249287E-2</v>
      </c>
      <c r="J1044" t="str">
        <f t="shared" si="65"/>
        <v>C[N+](C)(C)CCO.[Cl-]C(COCCO)O</v>
      </c>
      <c r="K1044">
        <v>82</v>
      </c>
      <c r="M1044">
        <f t="shared" si="66"/>
        <v>-0.72967870461249518</v>
      </c>
      <c r="N1044">
        <f t="shared" si="67"/>
        <v>-0.13740917450181325</v>
      </c>
    </row>
    <row r="1045" spans="1:14" x14ac:dyDescent="0.35">
      <c r="A1045">
        <v>1043</v>
      </c>
      <c r="B1045" t="s">
        <v>7</v>
      </c>
      <c r="C1045" t="s">
        <v>45</v>
      </c>
      <c r="D1045">
        <v>0.25</v>
      </c>
      <c r="E1045">
        <v>0.75</v>
      </c>
      <c r="F1045">
        <v>303.14999999999998</v>
      </c>
      <c r="G1045">
        <v>934.2</v>
      </c>
      <c r="H1045">
        <f t="shared" si="64"/>
        <v>-3.4052054030596941</v>
      </c>
      <c r="I1045">
        <v>3.32E-2</v>
      </c>
      <c r="J1045" t="str">
        <f t="shared" si="65"/>
        <v>C[N+](C)(C)CCO.[Cl-]C(COCCO)O</v>
      </c>
      <c r="K1045">
        <v>82</v>
      </c>
      <c r="M1045">
        <f t="shared" si="66"/>
        <v>-0.72967870461249518</v>
      </c>
      <c r="N1045">
        <f t="shared" si="67"/>
        <v>-9.8874404191828705E-2</v>
      </c>
    </row>
    <row r="1046" spans="1:14" x14ac:dyDescent="0.35">
      <c r="A1046">
        <v>1044</v>
      </c>
      <c r="B1046" t="s">
        <v>7</v>
      </c>
      <c r="C1046" t="s">
        <v>45</v>
      </c>
      <c r="D1046">
        <v>0.25</v>
      </c>
      <c r="E1046">
        <v>0.75</v>
      </c>
      <c r="F1046">
        <v>303.14999999999998</v>
      </c>
      <c r="G1046">
        <v>1112</v>
      </c>
      <c r="H1046">
        <f t="shared" si="64"/>
        <v>-3.3467091963780855</v>
      </c>
      <c r="I1046">
        <v>3.5200000000000002E-2</v>
      </c>
      <c r="J1046" t="str">
        <f t="shared" si="65"/>
        <v>C[N+](C)(C)CCO.[Cl-]C(COCCO)O</v>
      </c>
      <c r="K1046">
        <v>82</v>
      </c>
      <c r="M1046">
        <f t="shared" si="66"/>
        <v>-0.72967870461249518</v>
      </c>
      <c r="N1046">
        <f t="shared" si="67"/>
        <v>5.6655605657826829E-4</v>
      </c>
    </row>
    <row r="1047" spans="1:14" x14ac:dyDescent="0.35">
      <c r="A1047">
        <v>1045</v>
      </c>
      <c r="B1047" t="s">
        <v>11</v>
      </c>
      <c r="C1047" t="s">
        <v>40</v>
      </c>
      <c r="D1047">
        <v>0.25</v>
      </c>
      <c r="E1047">
        <v>0.75</v>
      </c>
      <c r="F1047">
        <v>303.14999999999998</v>
      </c>
      <c r="G1047">
        <v>502.5</v>
      </c>
      <c r="H1047">
        <f t="shared" si="64"/>
        <v>-4.0923465595594273</v>
      </c>
      <c r="I1047">
        <v>1.67E-2</v>
      </c>
      <c r="J1047" t="str">
        <f t="shared" si="65"/>
        <v>CCCC[N+](CCCC)(CCCC)CCCC.[Br-]C(CO)O</v>
      </c>
      <c r="K1047">
        <v>26</v>
      </c>
      <c r="M1047">
        <f t="shared" si="66"/>
        <v>-0.72967870461249518</v>
      </c>
      <c r="N1047">
        <f t="shared" si="67"/>
        <v>-0.34031795053174607</v>
      </c>
    </row>
    <row r="1048" spans="1:14" x14ac:dyDescent="0.35">
      <c r="A1048">
        <v>1046</v>
      </c>
      <c r="B1048" t="s">
        <v>11</v>
      </c>
      <c r="C1048" t="s">
        <v>40</v>
      </c>
      <c r="D1048">
        <v>0.25</v>
      </c>
      <c r="E1048">
        <v>0.75</v>
      </c>
      <c r="F1048">
        <v>303.14999999999998</v>
      </c>
      <c r="G1048">
        <v>744.4</v>
      </c>
      <c r="H1048">
        <f t="shared" si="64"/>
        <v>-3.51</v>
      </c>
      <c r="I1048">
        <v>2.9896914436926322E-2</v>
      </c>
      <c r="J1048" t="str">
        <f t="shared" si="65"/>
        <v>CCCC[N+](CCCC)(CCCC)CCCC.[Br-]C(CO)O</v>
      </c>
      <c r="K1048">
        <v>26</v>
      </c>
      <c r="M1048">
        <f t="shared" si="66"/>
        <v>-0.72967870461249518</v>
      </c>
      <c r="N1048">
        <f t="shared" si="67"/>
        <v>-0.20502679032876717</v>
      </c>
    </row>
    <row r="1049" spans="1:14" x14ac:dyDescent="0.35">
      <c r="A1049">
        <v>1047</v>
      </c>
      <c r="B1049" t="s">
        <v>11</v>
      </c>
      <c r="C1049" t="s">
        <v>40</v>
      </c>
      <c r="D1049">
        <v>0.25</v>
      </c>
      <c r="E1049">
        <v>0.75</v>
      </c>
      <c r="F1049">
        <v>303.14999999999998</v>
      </c>
      <c r="G1049">
        <v>805.8</v>
      </c>
      <c r="H1049">
        <f t="shared" si="64"/>
        <v>-3.43</v>
      </c>
      <c r="I1049">
        <v>3.238694077290704E-2</v>
      </c>
      <c r="J1049" t="str">
        <f t="shared" si="65"/>
        <v>CCCC[N+](CCCC)(CCCC)CCCC.[Br-]C(CO)O</v>
      </c>
      <c r="K1049">
        <v>26</v>
      </c>
      <c r="M1049">
        <f t="shared" si="66"/>
        <v>-0.72967870461249518</v>
      </c>
      <c r="N1049">
        <f t="shared" si="67"/>
        <v>-0.1706866611991148</v>
      </c>
    </row>
    <row r="1050" spans="1:14" x14ac:dyDescent="0.35">
      <c r="A1050">
        <v>1048</v>
      </c>
      <c r="B1050" t="s">
        <v>11</v>
      </c>
      <c r="C1050" t="s">
        <v>40</v>
      </c>
      <c r="D1050">
        <v>0.25</v>
      </c>
      <c r="E1050">
        <v>0.75</v>
      </c>
      <c r="F1050">
        <v>303.14999999999998</v>
      </c>
      <c r="G1050">
        <v>895.2</v>
      </c>
      <c r="H1050">
        <f t="shared" si="64"/>
        <v>-3.32</v>
      </c>
      <c r="I1050">
        <v>3.6152831754046426E-2</v>
      </c>
      <c r="J1050" t="str">
        <f t="shared" si="65"/>
        <v>CCCC[N+](CCCC)(CCCC)CCCC.[Br-]C(CO)O</v>
      </c>
      <c r="K1050">
        <v>26</v>
      </c>
      <c r="M1050">
        <f t="shared" si="66"/>
        <v>-0.72967870461249518</v>
      </c>
      <c r="N1050">
        <f t="shared" si="67"/>
        <v>-0.12068653832955578</v>
      </c>
    </row>
    <row r="1051" spans="1:14" x14ac:dyDescent="0.35">
      <c r="A1051">
        <v>1049</v>
      </c>
      <c r="B1051" t="s">
        <v>11</v>
      </c>
      <c r="C1051" t="s">
        <v>40</v>
      </c>
      <c r="D1051">
        <v>0.25</v>
      </c>
      <c r="E1051">
        <v>0.75</v>
      </c>
      <c r="F1051">
        <v>303.14999999999998</v>
      </c>
      <c r="G1051">
        <v>1085.5999999999999</v>
      </c>
      <c r="H1051">
        <f t="shared" si="64"/>
        <v>-3.1419147837320724</v>
      </c>
      <c r="I1051">
        <v>4.3200000000000002E-2</v>
      </c>
      <c r="J1051" t="str">
        <f t="shared" si="65"/>
        <v>CCCC[N+](CCCC)(CCCC)CCCC.[Br-]C(CO)O</v>
      </c>
      <c r="K1051">
        <v>26</v>
      </c>
      <c r="M1051">
        <f t="shared" si="66"/>
        <v>-0.72967870461249518</v>
      </c>
      <c r="N1051">
        <f t="shared" si="67"/>
        <v>-1.4198580898190876E-2</v>
      </c>
    </row>
    <row r="1052" spans="1:14" x14ac:dyDescent="0.35">
      <c r="A1052">
        <v>1050</v>
      </c>
      <c r="B1052" t="s">
        <v>11</v>
      </c>
      <c r="C1052" t="s">
        <v>40</v>
      </c>
      <c r="D1052">
        <v>0.25</v>
      </c>
      <c r="E1052">
        <v>0.75</v>
      </c>
      <c r="F1052">
        <v>303.14999999999998</v>
      </c>
      <c r="G1052">
        <v>1249.0999999999999</v>
      </c>
      <c r="H1052">
        <f t="shared" si="64"/>
        <v>-2.9584364888102939</v>
      </c>
      <c r="I1052">
        <v>5.1900000000000002E-2</v>
      </c>
      <c r="J1052" t="str">
        <f t="shared" si="65"/>
        <v>CCCC[N+](CCCC)(CCCC)CCCC.[Br-]C(CO)O</v>
      </c>
      <c r="K1052">
        <v>26</v>
      </c>
      <c r="M1052">
        <f t="shared" si="66"/>
        <v>-0.72967870461249518</v>
      </c>
      <c r="N1052">
        <f t="shared" si="67"/>
        <v>7.7244596833049531E-2</v>
      </c>
    </row>
    <row r="1053" spans="1:14" x14ac:dyDescent="0.35">
      <c r="A1053">
        <v>1051</v>
      </c>
      <c r="B1053" t="s">
        <v>11</v>
      </c>
      <c r="C1053" t="s">
        <v>45</v>
      </c>
      <c r="D1053">
        <v>0.25</v>
      </c>
      <c r="E1053">
        <v>0.75</v>
      </c>
      <c r="F1053">
        <v>303.14999999999998</v>
      </c>
      <c r="G1053">
        <v>688.5</v>
      </c>
      <c r="H1053">
        <f t="shared" si="64"/>
        <v>-3.26</v>
      </c>
      <c r="I1053">
        <v>3.8388398017552075E-2</v>
      </c>
      <c r="J1053" t="str">
        <f t="shared" si="65"/>
        <v>CCCC[N+](CCCC)(CCCC)CCCC.[Br-]C(COCCO)O</v>
      </c>
      <c r="K1053">
        <v>27</v>
      </c>
      <c r="M1053">
        <f t="shared" si="66"/>
        <v>-0.72967870461249518</v>
      </c>
      <c r="N1053">
        <f t="shared" si="67"/>
        <v>-0.23629084925950927</v>
      </c>
    </row>
    <row r="1054" spans="1:14" x14ac:dyDescent="0.35">
      <c r="A1054">
        <v>1052</v>
      </c>
      <c r="B1054" t="s">
        <v>11</v>
      </c>
      <c r="C1054" t="s">
        <v>45</v>
      </c>
      <c r="D1054">
        <v>0.25</v>
      </c>
      <c r="E1054">
        <v>0.75</v>
      </c>
      <c r="F1054">
        <v>303.14999999999998</v>
      </c>
      <c r="G1054">
        <v>896.3</v>
      </c>
      <c r="H1054">
        <f t="shared" si="64"/>
        <v>-2.8319141883245962</v>
      </c>
      <c r="I1054">
        <v>5.8900000000000001E-2</v>
      </c>
      <c r="J1054" t="str">
        <f t="shared" si="65"/>
        <v>CCCC[N+](CCCC)(CCCC)CCCC.[Br-]C(COCCO)O</v>
      </c>
      <c r="K1054">
        <v>27</v>
      </c>
      <c r="M1054">
        <f t="shared" si="66"/>
        <v>-0.72967870461249518</v>
      </c>
      <c r="N1054">
        <f t="shared" si="67"/>
        <v>-0.12007132428977378</v>
      </c>
    </row>
    <row r="1055" spans="1:14" x14ac:dyDescent="0.35">
      <c r="A1055">
        <v>1053</v>
      </c>
      <c r="B1055" t="s">
        <v>11</v>
      </c>
      <c r="C1055" t="s">
        <v>45</v>
      </c>
      <c r="D1055">
        <v>0.25</v>
      </c>
      <c r="E1055">
        <v>0.75</v>
      </c>
      <c r="F1055">
        <v>303.14999999999998</v>
      </c>
      <c r="G1055">
        <v>1094.5999999999999</v>
      </c>
      <c r="H1055">
        <f t="shared" si="64"/>
        <v>-2.5730823406917258</v>
      </c>
      <c r="I1055">
        <v>7.6300000000000007E-2</v>
      </c>
      <c r="J1055" t="str">
        <f t="shared" si="65"/>
        <v>CCCC[N+](CCCC)(CCCC)CCCC.[Br-]C(COCCO)O</v>
      </c>
      <c r="K1055">
        <v>27</v>
      </c>
      <c r="M1055">
        <f t="shared" si="66"/>
        <v>-0.72967870461249518</v>
      </c>
      <c r="N1055">
        <f t="shared" si="67"/>
        <v>-9.165011481792322E-3</v>
      </c>
    </row>
    <row r="1056" spans="1:14" x14ac:dyDescent="0.35">
      <c r="A1056">
        <v>1054</v>
      </c>
      <c r="B1056" t="s">
        <v>11</v>
      </c>
      <c r="C1056" t="s">
        <v>45</v>
      </c>
      <c r="D1056">
        <v>0.25</v>
      </c>
      <c r="E1056">
        <v>0.75</v>
      </c>
      <c r="F1056">
        <v>303.14999999999998</v>
      </c>
      <c r="G1056">
        <v>1205</v>
      </c>
      <c r="H1056">
        <f t="shared" si="64"/>
        <v>-2.4349742810397914</v>
      </c>
      <c r="I1056">
        <v>8.7599999999999997E-2</v>
      </c>
      <c r="J1056" t="str">
        <f t="shared" si="65"/>
        <v>CCCC[N+](CCCC)(CCCC)CCCC.[Br-]C(COCCO)O</v>
      </c>
      <c r="K1056">
        <v>27</v>
      </c>
      <c r="M1056">
        <f t="shared" si="66"/>
        <v>-0.72967870461249518</v>
      </c>
      <c r="N1056">
        <f t="shared" si="67"/>
        <v>5.2580106692696665E-2</v>
      </c>
    </row>
    <row r="1057" spans="1:14" x14ac:dyDescent="0.35">
      <c r="A1057">
        <v>1055</v>
      </c>
      <c r="B1057" t="s">
        <v>11</v>
      </c>
      <c r="C1057" t="s">
        <v>60</v>
      </c>
      <c r="D1057">
        <v>0.25</v>
      </c>
      <c r="E1057">
        <v>0.75</v>
      </c>
      <c r="F1057">
        <v>298.14999999999998</v>
      </c>
      <c r="G1057">
        <v>1000</v>
      </c>
      <c r="H1057">
        <f t="shared" si="64"/>
        <v>-2.488914671185539</v>
      </c>
      <c r="I1057">
        <v>8.3000000000000004E-2</v>
      </c>
      <c r="J1057" t="str">
        <f t="shared" si="65"/>
        <v>CCCC[N+](CCCC)(CCCC)CCCC.[Br-]C(COCCOCCO)O</v>
      </c>
      <c r="K1057">
        <v>28</v>
      </c>
      <c r="M1057">
        <f t="shared" si="66"/>
        <v>-1.1215370428862177</v>
      </c>
      <c r="N1057">
        <f t="shared" si="67"/>
        <v>-6.207341890304819E-2</v>
      </c>
    </row>
    <row r="1058" spans="1:14" x14ac:dyDescent="0.35">
      <c r="A1058">
        <v>1056</v>
      </c>
      <c r="B1058" t="s">
        <v>11</v>
      </c>
      <c r="C1058" t="s">
        <v>56</v>
      </c>
      <c r="D1058">
        <v>0.25</v>
      </c>
      <c r="E1058">
        <v>0.75</v>
      </c>
      <c r="F1058">
        <v>303.14999999999998</v>
      </c>
      <c r="G1058">
        <v>423.2</v>
      </c>
      <c r="H1058">
        <f t="shared" si="64"/>
        <v>-2.4522458675484522</v>
      </c>
      <c r="I1058">
        <v>8.6099999999999996E-2</v>
      </c>
      <c r="J1058" t="str">
        <f t="shared" si="65"/>
        <v>CCCC[N+](CCCC)(CCCC)CCCC.[Br-]CN(CCO)CCO</v>
      </c>
      <c r="K1058">
        <v>34</v>
      </c>
      <c r="M1058">
        <f t="shared" si="66"/>
        <v>-0.72967870461249518</v>
      </c>
      <c r="N1058">
        <f t="shared" si="67"/>
        <v>-0.38466928994512445</v>
      </c>
    </row>
    <row r="1059" spans="1:14" x14ac:dyDescent="0.35">
      <c r="A1059">
        <v>1057</v>
      </c>
      <c r="B1059" t="s">
        <v>11</v>
      </c>
      <c r="C1059" t="s">
        <v>56</v>
      </c>
      <c r="D1059">
        <v>0.25</v>
      </c>
      <c r="E1059">
        <v>0.75</v>
      </c>
      <c r="F1059">
        <v>303.14999999999998</v>
      </c>
      <c r="G1059">
        <v>512.5</v>
      </c>
      <c r="H1059">
        <f t="shared" si="64"/>
        <v>-2.3309845675157437</v>
      </c>
      <c r="I1059">
        <v>9.7199999999999995E-2</v>
      </c>
      <c r="J1059" t="str">
        <f t="shared" si="65"/>
        <v>CCCC[N+](CCCC)(CCCC)CCCC.[Br-]CN(CCO)CCO</v>
      </c>
      <c r="K1059">
        <v>34</v>
      </c>
      <c r="M1059">
        <f t="shared" si="66"/>
        <v>-0.72967870461249518</v>
      </c>
      <c r="N1059">
        <f t="shared" si="67"/>
        <v>-0.33472509562463659</v>
      </c>
    </row>
    <row r="1060" spans="1:14" x14ac:dyDescent="0.35">
      <c r="A1060">
        <v>1058</v>
      </c>
      <c r="B1060" t="s">
        <v>11</v>
      </c>
      <c r="C1060" t="s">
        <v>56</v>
      </c>
      <c r="D1060">
        <v>0.25</v>
      </c>
      <c r="E1060">
        <v>0.75</v>
      </c>
      <c r="F1060">
        <v>303.14999999999998</v>
      </c>
      <c r="G1060">
        <v>614.1</v>
      </c>
      <c r="H1060">
        <f t="shared" si="64"/>
        <v>-2.1481487396896268</v>
      </c>
      <c r="I1060">
        <v>0.1167</v>
      </c>
      <c r="J1060" t="str">
        <f t="shared" si="65"/>
        <v>CCCC[N+](CCCC)(CCCC)CCCC.[Br-]CN(CCO)CCO</v>
      </c>
      <c r="K1060">
        <v>34</v>
      </c>
      <c r="M1060">
        <f t="shared" si="66"/>
        <v>-0.72967870461249518</v>
      </c>
      <c r="N1060">
        <f t="shared" si="67"/>
        <v>-0.27790168976840396</v>
      </c>
    </row>
    <row r="1061" spans="1:14" x14ac:dyDescent="0.35">
      <c r="A1061">
        <v>1059</v>
      </c>
      <c r="B1061" t="s">
        <v>11</v>
      </c>
      <c r="C1061" t="s">
        <v>56</v>
      </c>
      <c r="D1061">
        <v>0.25</v>
      </c>
      <c r="E1061">
        <v>0.75</v>
      </c>
      <c r="F1061">
        <v>303.14999999999998</v>
      </c>
      <c r="G1061">
        <v>732.1</v>
      </c>
      <c r="H1061">
        <f t="shared" si="64"/>
        <v>-1.9125720894448031</v>
      </c>
      <c r="I1061">
        <v>0.1477</v>
      </c>
      <c r="J1061" t="str">
        <f t="shared" si="65"/>
        <v>CCCC[N+](CCCC)(CCCC)CCCC.[Br-]CN(CCO)CCO</v>
      </c>
      <c r="K1061">
        <v>34</v>
      </c>
      <c r="M1061">
        <f t="shared" si="66"/>
        <v>-0.72967870461249518</v>
      </c>
      <c r="N1061">
        <f t="shared" si="67"/>
        <v>-0.21190600186451183</v>
      </c>
    </row>
    <row r="1062" spans="1:14" x14ac:dyDescent="0.35">
      <c r="A1062">
        <v>1060</v>
      </c>
      <c r="B1062" t="s">
        <v>11</v>
      </c>
      <c r="C1062" t="s">
        <v>56</v>
      </c>
      <c r="D1062">
        <v>0.25</v>
      </c>
      <c r="E1062">
        <v>0.75</v>
      </c>
      <c r="F1062">
        <v>303.14999999999998</v>
      </c>
      <c r="G1062">
        <v>816.7</v>
      </c>
      <c r="H1062">
        <f t="shared" si="64"/>
        <v>-1.7909597890574906</v>
      </c>
      <c r="I1062">
        <v>0.1668</v>
      </c>
      <c r="J1062" t="str">
        <f t="shared" si="65"/>
        <v>CCCC[N+](CCCC)(CCCC)CCCC.[Br-]CN(CCO)CCO</v>
      </c>
      <c r="K1062">
        <v>34</v>
      </c>
      <c r="M1062">
        <f t="shared" si="66"/>
        <v>-0.72967870461249518</v>
      </c>
      <c r="N1062">
        <f t="shared" si="67"/>
        <v>-0.1645904493503654</v>
      </c>
    </row>
    <row r="1063" spans="1:14" x14ac:dyDescent="0.35">
      <c r="A1063">
        <v>1061</v>
      </c>
      <c r="B1063" t="s">
        <v>11</v>
      </c>
      <c r="C1063" t="s">
        <v>56</v>
      </c>
      <c r="D1063">
        <v>0.25</v>
      </c>
      <c r="E1063">
        <v>0.75</v>
      </c>
      <c r="F1063">
        <v>303.14999999999998</v>
      </c>
      <c r="G1063">
        <v>1000</v>
      </c>
      <c r="H1063">
        <f t="shared" si="64"/>
        <v>-1.5906161581935125</v>
      </c>
      <c r="I1063">
        <v>0.20380000000000001</v>
      </c>
      <c r="J1063" t="str">
        <f t="shared" si="65"/>
        <v>CCCC[N+](CCCC)(CCCC)CCCC.[Br-]CN(CCO)CCO</v>
      </c>
      <c r="K1063">
        <v>34</v>
      </c>
      <c r="M1063">
        <f t="shared" si="66"/>
        <v>-0.72967870461249518</v>
      </c>
      <c r="N1063">
        <f t="shared" si="67"/>
        <v>-6.207341890304819E-2</v>
      </c>
    </row>
    <row r="1064" spans="1:14" x14ac:dyDescent="0.35">
      <c r="A1064">
        <v>1062</v>
      </c>
      <c r="B1064" t="s">
        <v>2</v>
      </c>
      <c r="C1064" t="s">
        <v>68</v>
      </c>
      <c r="D1064">
        <v>0.25</v>
      </c>
      <c r="E1064">
        <v>0.75</v>
      </c>
      <c r="F1064">
        <v>303.14999999999998</v>
      </c>
      <c r="G1064">
        <v>52.8</v>
      </c>
      <c r="H1064">
        <f t="shared" si="64"/>
        <v>-5.91</v>
      </c>
      <c r="I1064">
        <v>2.7121868873866434E-3</v>
      </c>
      <c r="J1064" t="str">
        <f t="shared" si="65"/>
        <v>CC(=O)OCC[N+](C)(C)C.[Cl-]C1=CN=CN1</v>
      </c>
      <c r="K1064">
        <v>11</v>
      </c>
      <c r="M1064">
        <f t="shared" si="66"/>
        <v>-0.72967870461249518</v>
      </c>
      <c r="N1064">
        <f t="shared" si="67"/>
        <v>-0.59182863570446054</v>
      </c>
    </row>
    <row r="1065" spans="1:14" x14ac:dyDescent="0.35">
      <c r="A1065">
        <v>1063</v>
      </c>
      <c r="B1065" t="s">
        <v>2</v>
      </c>
      <c r="C1065" t="s">
        <v>68</v>
      </c>
      <c r="D1065">
        <v>0.25</v>
      </c>
      <c r="E1065">
        <v>0.75</v>
      </c>
      <c r="F1065">
        <v>303.14999999999998</v>
      </c>
      <c r="G1065">
        <v>91</v>
      </c>
      <c r="H1065">
        <f t="shared" si="64"/>
        <v>-5.22</v>
      </c>
      <c r="I1065">
        <v>5.4073291264409599E-3</v>
      </c>
      <c r="J1065" t="str">
        <f t="shared" si="65"/>
        <v>CC(=O)OCC[N+](C)(C)C.[Cl-]C1=CN=CN1</v>
      </c>
      <c r="K1065">
        <v>11</v>
      </c>
      <c r="M1065">
        <f t="shared" si="66"/>
        <v>-0.72967870461249518</v>
      </c>
      <c r="N1065">
        <f t="shared" si="67"/>
        <v>-0.57046392995930217</v>
      </c>
    </row>
    <row r="1066" spans="1:14" x14ac:dyDescent="0.35">
      <c r="A1066">
        <v>1064</v>
      </c>
      <c r="B1066" t="s">
        <v>2</v>
      </c>
      <c r="C1066" t="s">
        <v>68</v>
      </c>
      <c r="D1066">
        <v>0.25</v>
      </c>
      <c r="E1066">
        <v>0.75</v>
      </c>
      <c r="F1066">
        <v>303.14999999999998</v>
      </c>
      <c r="G1066">
        <v>200.3</v>
      </c>
      <c r="H1066">
        <f t="shared" si="64"/>
        <v>-4.57</v>
      </c>
      <c r="I1066">
        <v>1.0357959717613696E-2</v>
      </c>
      <c r="J1066" t="str">
        <f t="shared" si="65"/>
        <v>CC(=O)OCC[N+](C)(C)C.[Cl-]C1=CN=CN1</v>
      </c>
      <c r="K1066">
        <v>11</v>
      </c>
      <c r="M1066">
        <f t="shared" si="66"/>
        <v>-0.72967870461249518</v>
      </c>
      <c r="N1066">
        <f t="shared" si="67"/>
        <v>-0.5093340258245953</v>
      </c>
    </row>
    <row r="1067" spans="1:14" x14ac:dyDescent="0.35">
      <c r="A1067">
        <v>1065</v>
      </c>
      <c r="B1067" t="s">
        <v>2</v>
      </c>
      <c r="C1067" t="s">
        <v>68</v>
      </c>
      <c r="D1067">
        <v>0.25</v>
      </c>
      <c r="E1067">
        <v>0.75</v>
      </c>
      <c r="F1067">
        <v>303.14999999999998</v>
      </c>
      <c r="G1067">
        <v>291.39999999999998</v>
      </c>
      <c r="H1067">
        <f t="shared" si="64"/>
        <v>-4.2</v>
      </c>
      <c r="I1067">
        <v>1.4995576820477703E-2</v>
      </c>
      <c r="J1067" t="str">
        <f t="shared" si="65"/>
        <v>CC(=O)OCC[N+](C)(C)C.[Cl-]C1=CN=CN1</v>
      </c>
      <c r="K1067">
        <v>11</v>
      </c>
      <c r="M1067">
        <f t="shared" si="66"/>
        <v>-0.72967870461249518</v>
      </c>
      <c r="N1067">
        <f t="shared" si="67"/>
        <v>-0.45838311762082773</v>
      </c>
    </row>
    <row r="1068" spans="1:14" x14ac:dyDescent="0.35">
      <c r="A1068">
        <v>1066</v>
      </c>
      <c r="B1068" t="s">
        <v>2</v>
      </c>
      <c r="C1068" t="s">
        <v>68</v>
      </c>
      <c r="D1068">
        <v>0.25</v>
      </c>
      <c r="E1068">
        <v>0.75</v>
      </c>
      <c r="F1068">
        <v>303.14999999999998</v>
      </c>
      <c r="G1068">
        <v>385.4</v>
      </c>
      <c r="H1068">
        <f t="shared" si="64"/>
        <v>-3.98</v>
      </c>
      <c r="I1068">
        <v>1.8685639337732773E-2</v>
      </c>
      <c r="J1068" t="str">
        <f t="shared" si="65"/>
        <v>CC(=O)OCC[N+](C)(C)C.[Cl-]C1=CN=CN1</v>
      </c>
      <c r="K1068">
        <v>11</v>
      </c>
      <c r="M1068">
        <f t="shared" si="66"/>
        <v>-0.72967870461249518</v>
      </c>
      <c r="N1068">
        <f t="shared" si="67"/>
        <v>-0.40581028149399839</v>
      </c>
    </row>
    <row r="1069" spans="1:14" x14ac:dyDescent="0.35">
      <c r="A1069">
        <v>1067</v>
      </c>
      <c r="B1069" t="s">
        <v>2</v>
      </c>
      <c r="C1069" t="s">
        <v>68</v>
      </c>
      <c r="D1069">
        <v>0.25</v>
      </c>
      <c r="E1069">
        <v>0.75</v>
      </c>
      <c r="F1069">
        <v>303.14999999999998</v>
      </c>
      <c r="G1069">
        <v>478.6</v>
      </c>
      <c r="H1069">
        <f t="shared" si="64"/>
        <v>-3.75</v>
      </c>
      <c r="I1069">
        <v>2.3517745856009107E-2</v>
      </c>
      <c r="J1069" t="str">
        <f t="shared" si="65"/>
        <v>CC(=O)OCC[N+](C)(C)C.[Cl-]C1=CN=CN1</v>
      </c>
      <c r="K1069">
        <v>11</v>
      </c>
      <c r="M1069">
        <f t="shared" si="66"/>
        <v>-0.72967870461249518</v>
      </c>
      <c r="N1069">
        <f t="shared" si="67"/>
        <v>-0.35368487375973778</v>
      </c>
    </row>
    <row r="1070" spans="1:14" x14ac:dyDescent="0.35">
      <c r="A1070">
        <v>1068</v>
      </c>
      <c r="B1070" t="s">
        <v>2</v>
      </c>
      <c r="C1070" t="s">
        <v>68</v>
      </c>
      <c r="D1070">
        <v>0.25</v>
      </c>
      <c r="E1070">
        <v>0.75</v>
      </c>
      <c r="F1070">
        <v>303.14999999999998</v>
      </c>
      <c r="G1070">
        <v>567.6</v>
      </c>
      <c r="H1070">
        <f t="shared" si="64"/>
        <v>-3.59</v>
      </c>
      <c r="I1070">
        <v>2.7598330423249287E-2</v>
      </c>
      <c r="J1070" t="str">
        <f t="shared" si="65"/>
        <v>CC(=O)OCC[N+](C)(C)C.[Cl-]C1=CN=CN1</v>
      </c>
      <c r="K1070">
        <v>11</v>
      </c>
      <c r="M1070">
        <f t="shared" si="66"/>
        <v>-0.72967870461249518</v>
      </c>
      <c r="N1070">
        <f t="shared" si="67"/>
        <v>-0.30390846508646319</v>
      </c>
    </row>
    <row r="1071" spans="1:14" x14ac:dyDescent="0.35">
      <c r="A1071">
        <v>1069</v>
      </c>
      <c r="B1071" t="s">
        <v>2</v>
      </c>
      <c r="C1071" t="s">
        <v>68</v>
      </c>
      <c r="D1071">
        <v>0.25</v>
      </c>
      <c r="E1071">
        <v>0.75</v>
      </c>
      <c r="F1071">
        <v>313.14999999999998</v>
      </c>
      <c r="G1071">
        <v>29.2</v>
      </c>
      <c r="H1071">
        <f t="shared" si="64"/>
        <v>-6.03</v>
      </c>
      <c r="I1071">
        <v>2.4054939786195095E-3</v>
      </c>
      <c r="J1071" t="str">
        <f t="shared" si="65"/>
        <v>CC(=O)OCC[N+](C)(C)C.[Cl-]C1=CN=CN1</v>
      </c>
      <c r="K1071">
        <v>11</v>
      </c>
      <c r="M1071">
        <f t="shared" si="66"/>
        <v>5.4037971934950142E-2</v>
      </c>
      <c r="N1071">
        <f t="shared" si="67"/>
        <v>-0.60502777328523893</v>
      </c>
    </row>
    <row r="1072" spans="1:14" x14ac:dyDescent="0.35">
      <c r="A1072">
        <v>1070</v>
      </c>
      <c r="B1072" t="s">
        <v>2</v>
      </c>
      <c r="C1072" t="s">
        <v>68</v>
      </c>
      <c r="D1072">
        <v>0.25</v>
      </c>
      <c r="E1072">
        <v>0.75</v>
      </c>
      <c r="F1072">
        <v>313.14999999999998</v>
      </c>
      <c r="G1072">
        <v>59.9</v>
      </c>
      <c r="H1072">
        <f t="shared" si="64"/>
        <v>-5.68</v>
      </c>
      <c r="I1072">
        <v>3.4135584433954303E-3</v>
      </c>
      <c r="J1072" t="str">
        <f t="shared" si="65"/>
        <v>CC(=O)OCC[N+](C)(C)C.[Cl-]C1=CN=CN1</v>
      </c>
      <c r="K1072">
        <v>11</v>
      </c>
      <c r="M1072">
        <f t="shared" si="66"/>
        <v>5.4037971934950142E-2</v>
      </c>
      <c r="N1072">
        <f t="shared" si="67"/>
        <v>-0.58785770872041276</v>
      </c>
    </row>
    <row r="1073" spans="1:14" x14ac:dyDescent="0.35">
      <c r="A1073">
        <v>1071</v>
      </c>
      <c r="B1073" t="s">
        <v>2</v>
      </c>
      <c r="C1073" t="s">
        <v>68</v>
      </c>
      <c r="D1073">
        <v>0.25</v>
      </c>
      <c r="E1073">
        <v>0.75</v>
      </c>
      <c r="F1073">
        <v>313.14999999999998</v>
      </c>
      <c r="G1073">
        <v>87.8</v>
      </c>
      <c r="H1073">
        <f t="shared" si="64"/>
        <v>-5.34</v>
      </c>
      <c r="I1073">
        <v>4.7958707102964213E-3</v>
      </c>
      <c r="J1073" t="str">
        <f t="shared" si="65"/>
        <v>CC(=O)OCC[N+](C)(C)C.[Cl-]C1=CN=CN1</v>
      </c>
      <c r="K1073">
        <v>11</v>
      </c>
      <c r="M1073">
        <f t="shared" si="66"/>
        <v>5.4037971934950142E-2</v>
      </c>
      <c r="N1073">
        <f t="shared" si="67"/>
        <v>-0.5722536435295773</v>
      </c>
    </row>
    <row r="1074" spans="1:14" x14ac:dyDescent="0.35">
      <c r="A1074">
        <v>1072</v>
      </c>
      <c r="B1074" t="s">
        <v>2</v>
      </c>
      <c r="C1074" t="s">
        <v>68</v>
      </c>
      <c r="D1074">
        <v>0.25</v>
      </c>
      <c r="E1074">
        <v>0.75</v>
      </c>
      <c r="F1074">
        <v>313.14999999999998</v>
      </c>
      <c r="G1074">
        <v>140.19999999999999</v>
      </c>
      <c r="H1074">
        <f t="shared" si="64"/>
        <v>-4.99</v>
      </c>
      <c r="I1074">
        <v>6.8056644922305431E-3</v>
      </c>
      <c r="J1074" t="str">
        <f t="shared" si="65"/>
        <v>CC(=O)OCC[N+](C)(C)C.[Cl-]C1=CN=CN1</v>
      </c>
      <c r="K1074">
        <v>11</v>
      </c>
      <c r="M1074">
        <f t="shared" si="66"/>
        <v>5.4037971934950142E-2</v>
      </c>
      <c r="N1074">
        <f t="shared" si="67"/>
        <v>-0.54294708381632339</v>
      </c>
    </row>
    <row r="1075" spans="1:14" x14ac:dyDescent="0.35">
      <c r="A1075">
        <v>1073</v>
      </c>
      <c r="B1075" t="s">
        <v>2</v>
      </c>
      <c r="C1075" t="s">
        <v>68</v>
      </c>
      <c r="D1075">
        <v>0.25</v>
      </c>
      <c r="E1075">
        <v>0.75</v>
      </c>
      <c r="F1075">
        <v>313.14999999999998</v>
      </c>
      <c r="G1075">
        <v>233.6</v>
      </c>
      <c r="H1075">
        <f t="shared" si="64"/>
        <v>-4.57</v>
      </c>
      <c r="I1075">
        <v>1.0357959717613696E-2</v>
      </c>
      <c r="J1075" t="str">
        <f t="shared" si="65"/>
        <v>CC(=O)OCC[N+](C)(C)C.[Cl-]C1=CN=CN1</v>
      </c>
      <c r="K1075">
        <v>11</v>
      </c>
      <c r="M1075">
        <f t="shared" si="66"/>
        <v>5.4037971934950142E-2</v>
      </c>
      <c r="N1075">
        <f t="shared" si="67"/>
        <v>-0.49070981898392069</v>
      </c>
    </row>
    <row r="1076" spans="1:14" x14ac:dyDescent="0.35">
      <c r="A1076">
        <v>1074</v>
      </c>
      <c r="B1076" t="s">
        <v>2</v>
      </c>
      <c r="C1076" t="s">
        <v>68</v>
      </c>
      <c r="D1076">
        <v>0.25</v>
      </c>
      <c r="E1076">
        <v>0.75</v>
      </c>
      <c r="F1076">
        <v>313.14999999999998</v>
      </c>
      <c r="G1076">
        <v>337</v>
      </c>
      <c r="H1076">
        <f t="shared" si="64"/>
        <v>-4.2758664388454912</v>
      </c>
      <c r="I1076">
        <v>1.3899999999999999E-2</v>
      </c>
      <c r="J1076" t="str">
        <f t="shared" si="65"/>
        <v>CC(=O)OCC[N+](C)(C)C.[Cl-]C1=CN=CN1</v>
      </c>
      <c r="K1076">
        <v>11</v>
      </c>
      <c r="M1076">
        <f t="shared" si="66"/>
        <v>5.4037971934950142E-2</v>
      </c>
      <c r="N1076">
        <f t="shared" si="67"/>
        <v>-0.43287969924440839</v>
      </c>
    </row>
    <row r="1077" spans="1:14" x14ac:dyDescent="0.35">
      <c r="A1077">
        <v>1075</v>
      </c>
      <c r="B1077" t="s">
        <v>2</v>
      </c>
      <c r="C1077" t="s">
        <v>68</v>
      </c>
      <c r="D1077">
        <v>0.25</v>
      </c>
      <c r="E1077">
        <v>0.75</v>
      </c>
      <c r="F1077">
        <v>313.14999999999998</v>
      </c>
      <c r="G1077">
        <v>424.5</v>
      </c>
      <c r="H1077">
        <f t="shared" si="64"/>
        <v>-4.0570487774784034</v>
      </c>
      <c r="I1077">
        <v>1.7299999999999999E-2</v>
      </c>
      <c r="J1077" t="str">
        <f t="shared" si="65"/>
        <v>CC(=O)OCC[N+](C)(C)C.[Cl-]C1=CN=CN1</v>
      </c>
      <c r="K1077">
        <v>11</v>
      </c>
      <c r="M1077">
        <f t="shared" si="66"/>
        <v>5.4037971934950142E-2</v>
      </c>
      <c r="N1077">
        <f t="shared" si="67"/>
        <v>-0.3839422188072002</v>
      </c>
    </row>
    <row r="1078" spans="1:14" x14ac:dyDescent="0.35">
      <c r="A1078">
        <v>1076</v>
      </c>
      <c r="B1078" t="s">
        <v>2</v>
      </c>
      <c r="C1078" t="s">
        <v>68</v>
      </c>
      <c r="D1078">
        <v>0.25</v>
      </c>
      <c r="E1078">
        <v>0.75</v>
      </c>
      <c r="F1078">
        <v>313.14999999999998</v>
      </c>
      <c r="G1078">
        <v>522.79999999999995</v>
      </c>
      <c r="H1078">
        <f t="shared" si="64"/>
        <v>-3.8728022922748648</v>
      </c>
      <c r="I1078">
        <v>2.0799999999999999E-2</v>
      </c>
      <c r="J1078" t="str">
        <f t="shared" si="65"/>
        <v>CC(=O)OCC[N+](C)(C)C.[Cl-]C1=CN=CN1</v>
      </c>
      <c r="K1078">
        <v>11</v>
      </c>
      <c r="M1078">
        <f t="shared" si="66"/>
        <v>5.4037971934950142E-2</v>
      </c>
      <c r="N1078">
        <f t="shared" si="67"/>
        <v>-0.3289644550703138</v>
      </c>
    </row>
    <row r="1079" spans="1:14" x14ac:dyDescent="0.35">
      <c r="A1079">
        <v>1077</v>
      </c>
      <c r="B1079" t="s">
        <v>2</v>
      </c>
      <c r="C1079" t="s">
        <v>68</v>
      </c>
      <c r="D1079">
        <v>0.25</v>
      </c>
      <c r="E1079">
        <v>0.75</v>
      </c>
      <c r="F1079">
        <v>313.14999999999998</v>
      </c>
      <c r="G1079">
        <v>583.6</v>
      </c>
      <c r="H1079">
        <f t="shared" si="64"/>
        <v>-3.7766183684219432</v>
      </c>
      <c r="I1079">
        <v>2.29E-2</v>
      </c>
      <c r="J1079" t="str">
        <f t="shared" si="65"/>
        <v>CC(=O)OCC[N+](C)(C)C.[Cl-]C1=CN=CN1</v>
      </c>
      <c r="K1079">
        <v>11</v>
      </c>
      <c r="M1079">
        <f t="shared" si="66"/>
        <v>5.4037971934950142E-2</v>
      </c>
      <c r="N1079">
        <f t="shared" si="67"/>
        <v>-0.29495989723508798</v>
      </c>
    </row>
    <row r="1080" spans="1:14" x14ac:dyDescent="0.35">
      <c r="A1080">
        <v>1078</v>
      </c>
      <c r="B1080" t="s">
        <v>2</v>
      </c>
      <c r="C1080" t="s">
        <v>68</v>
      </c>
      <c r="D1080">
        <v>0.25</v>
      </c>
      <c r="E1080">
        <v>0.75</v>
      </c>
      <c r="F1080">
        <v>323.14999999999998</v>
      </c>
      <c r="G1080">
        <v>26.3</v>
      </c>
      <c r="H1080">
        <f t="shared" si="64"/>
        <v>-6.57</v>
      </c>
      <c r="I1080">
        <v>1.4017974121366744E-3</v>
      </c>
      <c r="J1080" t="str">
        <f t="shared" si="65"/>
        <v>CC(=O)OCC[N+](C)(C)C.[Cl-]C1=CN=CN1</v>
      </c>
      <c r="K1080">
        <v>11</v>
      </c>
      <c r="M1080">
        <f t="shared" si="66"/>
        <v>0.83775464848239545</v>
      </c>
      <c r="N1080">
        <f t="shared" si="67"/>
        <v>-0.60664970120830075</v>
      </c>
    </row>
    <row r="1081" spans="1:14" x14ac:dyDescent="0.35">
      <c r="A1081">
        <v>1079</v>
      </c>
      <c r="B1081" t="s">
        <v>2</v>
      </c>
      <c r="C1081" t="s">
        <v>68</v>
      </c>
      <c r="D1081">
        <v>0.25</v>
      </c>
      <c r="E1081">
        <v>0.75</v>
      </c>
      <c r="F1081">
        <v>323.14999999999998</v>
      </c>
      <c r="G1081">
        <v>58</v>
      </c>
      <c r="H1081">
        <f t="shared" si="64"/>
        <v>-5.88</v>
      </c>
      <c r="I1081">
        <v>2.7947852750368437E-3</v>
      </c>
      <c r="J1081" t="str">
        <f t="shared" si="65"/>
        <v>CC(=O)OCC[N+](C)(C)C.[Cl-]C1=CN=CN1</v>
      </c>
      <c r="K1081">
        <v>11</v>
      </c>
      <c r="M1081">
        <f t="shared" si="66"/>
        <v>0.83775464848239545</v>
      </c>
      <c r="N1081">
        <f t="shared" si="67"/>
        <v>-0.58892035115276353</v>
      </c>
    </row>
    <row r="1082" spans="1:14" x14ac:dyDescent="0.35">
      <c r="A1082">
        <v>1080</v>
      </c>
      <c r="B1082" t="s">
        <v>2</v>
      </c>
      <c r="C1082" t="s">
        <v>68</v>
      </c>
      <c r="D1082">
        <v>0.25</v>
      </c>
      <c r="E1082">
        <v>0.75</v>
      </c>
      <c r="F1082">
        <v>323.14999999999998</v>
      </c>
      <c r="G1082">
        <v>87.5</v>
      </c>
      <c r="H1082">
        <f t="shared" si="64"/>
        <v>-5.63</v>
      </c>
      <c r="I1082">
        <v>3.5885753273319477E-3</v>
      </c>
      <c r="J1082" t="str">
        <f t="shared" si="65"/>
        <v>CC(=O)OCC[N+](C)(C)C.[Cl-]C1=CN=CN1</v>
      </c>
      <c r="K1082">
        <v>11</v>
      </c>
      <c r="M1082">
        <f t="shared" si="66"/>
        <v>0.83775464848239545</v>
      </c>
      <c r="N1082">
        <f t="shared" si="67"/>
        <v>-0.57242142917679051</v>
      </c>
    </row>
    <row r="1083" spans="1:14" x14ac:dyDescent="0.35">
      <c r="A1083">
        <v>1081</v>
      </c>
      <c r="B1083" t="s">
        <v>2</v>
      </c>
      <c r="C1083" t="s">
        <v>68</v>
      </c>
      <c r="D1083">
        <v>0.25</v>
      </c>
      <c r="E1083">
        <v>0.75</v>
      </c>
      <c r="F1083">
        <v>323.14999999999998</v>
      </c>
      <c r="G1083">
        <v>139.1</v>
      </c>
      <c r="H1083">
        <f t="shared" si="64"/>
        <v>-5.22</v>
      </c>
      <c r="I1083">
        <v>5.4073291264409599E-3</v>
      </c>
      <c r="J1083" t="str">
        <f t="shared" si="65"/>
        <v>CC(=O)OCC[N+](C)(C)C.[Cl-]C1=CN=CN1</v>
      </c>
      <c r="K1083">
        <v>11</v>
      </c>
      <c r="M1083">
        <f t="shared" si="66"/>
        <v>0.83775464848239545</v>
      </c>
      <c r="N1083">
        <f t="shared" si="67"/>
        <v>-0.54356229785610544</v>
      </c>
    </row>
    <row r="1084" spans="1:14" x14ac:dyDescent="0.35">
      <c r="A1084">
        <v>1082</v>
      </c>
      <c r="B1084" t="s">
        <v>2</v>
      </c>
      <c r="C1084" t="s">
        <v>68</v>
      </c>
      <c r="D1084">
        <v>0.25</v>
      </c>
      <c r="E1084">
        <v>0.75</v>
      </c>
      <c r="F1084">
        <v>323.14999999999998</v>
      </c>
      <c r="G1084">
        <v>238.7</v>
      </c>
      <c r="H1084">
        <f t="shared" si="64"/>
        <v>-4.8</v>
      </c>
      <c r="I1084">
        <v>8.2297470490200302E-3</v>
      </c>
      <c r="J1084" t="str">
        <f t="shared" si="65"/>
        <v>CC(=O)OCC[N+](C)(C)C.[Cl-]C1=CN=CN1</v>
      </c>
      <c r="K1084">
        <v>11</v>
      </c>
      <c r="M1084">
        <f t="shared" si="66"/>
        <v>0.83775464848239545</v>
      </c>
      <c r="N1084">
        <f t="shared" si="67"/>
        <v>-0.48785746298129479</v>
      </c>
    </row>
    <row r="1085" spans="1:14" x14ac:dyDescent="0.35">
      <c r="A1085">
        <v>1083</v>
      </c>
      <c r="B1085" t="s">
        <v>2</v>
      </c>
      <c r="C1085" t="s">
        <v>68</v>
      </c>
      <c r="D1085">
        <v>0.25</v>
      </c>
      <c r="E1085">
        <v>0.75</v>
      </c>
      <c r="F1085">
        <v>323.14999999999998</v>
      </c>
      <c r="G1085">
        <v>337.1</v>
      </c>
      <c r="H1085">
        <f t="shared" si="64"/>
        <v>-4.47</v>
      </c>
      <c r="I1085">
        <v>1.1447315850505711E-2</v>
      </c>
      <c r="J1085" t="str">
        <f t="shared" si="65"/>
        <v>CC(=O)OCC[N+](C)(C)C.[Cl-]C1=CN=CN1</v>
      </c>
      <c r="K1085">
        <v>11</v>
      </c>
      <c r="M1085">
        <f t="shared" si="66"/>
        <v>0.83775464848239545</v>
      </c>
      <c r="N1085">
        <f t="shared" si="67"/>
        <v>-0.43282377069533728</v>
      </c>
    </row>
    <row r="1086" spans="1:14" x14ac:dyDescent="0.35">
      <c r="A1086">
        <v>1084</v>
      </c>
      <c r="B1086" t="s">
        <v>2</v>
      </c>
      <c r="C1086" t="s">
        <v>68</v>
      </c>
      <c r="D1086">
        <v>0.25</v>
      </c>
      <c r="E1086">
        <v>0.75</v>
      </c>
      <c r="F1086">
        <v>323.14999999999998</v>
      </c>
      <c r="G1086">
        <v>426</v>
      </c>
      <c r="H1086">
        <f t="shared" si="64"/>
        <v>-4.26</v>
      </c>
      <c r="I1086">
        <v>1.4122302410163962E-2</v>
      </c>
      <c r="J1086" t="str">
        <f t="shared" si="65"/>
        <v>CC(=O)OCC[N+](C)(C)C.[Cl-]C1=CN=CN1</v>
      </c>
      <c r="K1086">
        <v>11</v>
      </c>
      <c r="M1086">
        <f t="shared" si="66"/>
        <v>0.83775464848239545</v>
      </c>
      <c r="N1086">
        <f t="shared" si="67"/>
        <v>-0.38310329057113379</v>
      </c>
    </row>
    <row r="1087" spans="1:14" x14ac:dyDescent="0.35">
      <c r="A1087">
        <v>1085</v>
      </c>
      <c r="B1087" t="s">
        <v>2</v>
      </c>
      <c r="C1087" t="s">
        <v>68</v>
      </c>
      <c r="D1087">
        <v>0.25</v>
      </c>
      <c r="E1087">
        <v>0.75</v>
      </c>
      <c r="F1087">
        <v>323.14999999999998</v>
      </c>
      <c r="G1087">
        <v>531</v>
      </c>
      <c r="H1087">
        <f t="shared" si="64"/>
        <v>-4.0599999999999996</v>
      </c>
      <c r="I1087">
        <v>1.7249019115346279E-2</v>
      </c>
      <c r="J1087" t="str">
        <f t="shared" si="65"/>
        <v>CC(=O)OCC[N+](C)(C)C.[Cl-]C1=CN=CN1</v>
      </c>
      <c r="K1087">
        <v>11</v>
      </c>
      <c r="M1087">
        <f t="shared" si="66"/>
        <v>0.83775464848239545</v>
      </c>
      <c r="N1087">
        <f t="shared" si="67"/>
        <v>-0.32437831404648398</v>
      </c>
    </row>
    <row r="1088" spans="1:14" x14ac:dyDescent="0.35">
      <c r="A1088">
        <v>1086</v>
      </c>
      <c r="B1088" t="s">
        <v>2</v>
      </c>
      <c r="C1088" t="s">
        <v>68</v>
      </c>
      <c r="D1088">
        <v>0.25</v>
      </c>
      <c r="E1088">
        <v>0.75</v>
      </c>
      <c r="F1088">
        <v>323.14999999999998</v>
      </c>
      <c r="G1088">
        <v>587.29999999999995</v>
      </c>
      <c r="H1088">
        <f t="shared" si="64"/>
        <v>-3.9633162998156966</v>
      </c>
      <c r="I1088">
        <v>1.9E-2</v>
      </c>
      <c r="J1088" t="str">
        <f t="shared" si="65"/>
        <v>CC(=O)OCC[N+](C)(C)C.[Cl-]C1=CN=CN1</v>
      </c>
      <c r="K1088">
        <v>11</v>
      </c>
      <c r="M1088">
        <f t="shared" si="66"/>
        <v>0.83775464848239545</v>
      </c>
      <c r="N1088">
        <f t="shared" si="67"/>
        <v>-0.29289054091945749</v>
      </c>
    </row>
    <row r="1089" spans="1:14" x14ac:dyDescent="0.35">
      <c r="A1089">
        <v>1087</v>
      </c>
      <c r="B1089" t="s">
        <v>2</v>
      </c>
      <c r="C1089" t="s">
        <v>68</v>
      </c>
      <c r="D1089">
        <v>0.25</v>
      </c>
      <c r="E1089">
        <v>0.75</v>
      </c>
      <c r="F1089">
        <v>333.15</v>
      </c>
      <c r="G1089">
        <v>28.6</v>
      </c>
      <c r="H1089">
        <f t="shared" si="64"/>
        <v>-7.13</v>
      </c>
      <c r="I1089">
        <v>8.007193874922814E-4</v>
      </c>
      <c r="J1089" t="str">
        <f t="shared" si="65"/>
        <v>CC(=O)OCC[N+](C)(C)C.[Cl-]C1=CN=CN1</v>
      </c>
      <c r="K1089">
        <v>11</v>
      </c>
      <c r="M1089">
        <f t="shared" si="66"/>
        <v>1.6214713250298407</v>
      </c>
      <c r="N1089">
        <f t="shared" si="67"/>
        <v>-0.60536334457966556</v>
      </c>
    </row>
    <row r="1090" spans="1:14" x14ac:dyDescent="0.35">
      <c r="A1090">
        <v>1088</v>
      </c>
      <c r="B1090" t="s">
        <v>2</v>
      </c>
      <c r="C1090" t="s">
        <v>68</v>
      </c>
      <c r="D1090">
        <v>0.25</v>
      </c>
      <c r="E1090">
        <v>0.75</v>
      </c>
      <c r="F1090">
        <v>333.15</v>
      </c>
      <c r="G1090">
        <v>58.3</v>
      </c>
      <c r="H1090">
        <f t="shared" si="64"/>
        <v>-6.44</v>
      </c>
      <c r="I1090">
        <v>1.5964066806122474E-3</v>
      </c>
      <c r="J1090" t="str">
        <f t="shared" si="65"/>
        <v>CC(=O)OCC[N+](C)(C)C.[Cl-]C1=CN=CN1</v>
      </c>
      <c r="K1090">
        <v>11</v>
      </c>
      <c r="M1090">
        <f t="shared" si="66"/>
        <v>1.6214713250298407</v>
      </c>
      <c r="N1090">
        <f t="shared" si="67"/>
        <v>-0.58875256550555033</v>
      </c>
    </row>
    <row r="1091" spans="1:14" x14ac:dyDescent="0.35">
      <c r="A1091">
        <v>1089</v>
      </c>
      <c r="B1091" t="s">
        <v>2</v>
      </c>
      <c r="C1091" t="s">
        <v>68</v>
      </c>
      <c r="D1091">
        <v>0.25</v>
      </c>
      <c r="E1091">
        <v>0.75</v>
      </c>
      <c r="F1091">
        <v>333.15</v>
      </c>
      <c r="G1091">
        <v>87.1</v>
      </c>
      <c r="H1091">
        <f t="shared" ref="H1091:H1154" si="68">LN(I1091)</f>
        <v>-6.07</v>
      </c>
      <c r="I1091">
        <v>2.3111732106021292E-3</v>
      </c>
      <c r="J1091" t="str">
        <f t="shared" ref="J1091:J1154" si="69">_xlfn.CONCAT(B1091,C1091)</f>
        <v>CC(=O)OCC[N+](C)(C)C.[Cl-]C1=CN=CN1</v>
      </c>
      <c r="K1091">
        <v>11</v>
      </c>
      <c r="M1091">
        <f t="shared" ref="M1091:M1154" si="70">(F1091-$L$3)/$L$2</f>
        <v>1.6214713250298407</v>
      </c>
      <c r="N1091">
        <f t="shared" ref="N1091:N1154" si="71">(G1091-$L$6)/$L$5</f>
        <v>-0.57264514337307493</v>
      </c>
    </row>
    <row r="1092" spans="1:14" x14ac:dyDescent="0.35">
      <c r="A1092">
        <v>1090</v>
      </c>
      <c r="B1092" t="s">
        <v>2</v>
      </c>
      <c r="C1092" t="s">
        <v>68</v>
      </c>
      <c r="D1092">
        <v>0.25</v>
      </c>
      <c r="E1092">
        <v>0.75</v>
      </c>
      <c r="F1092">
        <v>333.15</v>
      </c>
      <c r="G1092">
        <v>146.1</v>
      </c>
      <c r="H1092">
        <f t="shared" si="68"/>
        <v>-5.57</v>
      </c>
      <c r="I1092">
        <v>3.810480432592037E-3</v>
      </c>
      <c r="J1092" t="str">
        <f t="shared" si="69"/>
        <v>CC(=O)OCC[N+](C)(C)C.[Cl-]C1=CN=CN1</v>
      </c>
      <c r="K1092">
        <v>11</v>
      </c>
      <c r="M1092">
        <f t="shared" si="70"/>
        <v>1.6214713250298407</v>
      </c>
      <c r="N1092">
        <f t="shared" si="71"/>
        <v>-0.53964729942112888</v>
      </c>
    </row>
    <row r="1093" spans="1:14" x14ac:dyDescent="0.35">
      <c r="A1093">
        <v>1091</v>
      </c>
      <c r="B1093" t="s">
        <v>2</v>
      </c>
      <c r="C1093" t="s">
        <v>68</v>
      </c>
      <c r="D1093">
        <v>0.25</v>
      </c>
      <c r="E1093">
        <v>0.75</v>
      </c>
      <c r="F1093">
        <v>333.15</v>
      </c>
      <c r="G1093">
        <v>239.7</v>
      </c>
      <c r="H1093">
        <f t="shared" si="68"/>
        <v>-5.08</v>
      </c>
      <c r="I1093">
        <v>6.2199090159425728E-3</v>
      </c>
      <c r="J1093" t="str">
        <f t="shared" si="69"/>
        <v>CC(=O)OCC[N+](C)(C)C.[Cl-]C1=CN=CN1</v>
      </c>
      <c r="K1093">
        <v>11</v>
      </c>
      <c r="M1093">
        <f t="shared" si="70"/>
        <v>1.6214713250298407</v>
      </c>
      <c r="N1093">
        <f t="shared" si="71"/>
        <v>-0.48729817749058385</v>
      </c>
    </row>
    <row r="1094" spans="1:14" x14ac:dyDescent="0.35">
      <c r="A1094">
        <v>1092</v>
      </c>
      <c r="B1094" t="s">
        <v>2</v>
      </c>
      <c r="C1094" t="s">
        <v>68</v>
      </c>
      <c r="D1094">
        <v>0.25</v>
      </c>
      <c r="E1094">
        <v>0.75</v>
      </c>
      <c r="F1094">
        <v>333.15</v>
      </c>
      <c r="G1094">
        <v>354.3</v>
      </c>
      <c r="H1094">
        <f t="shared" si="68"/>
        <v>-4.7</v>
      </c>
      <c r="I1094">
        <v>9.0952771016958155E-3</v>
      </c>
      <c r="J1094" t="str">
        <f t="shared" si="69"/>
        <v>CC(=O)OCC[N+](C)(C)C.[Cl-]C1=CN=CN1</v>
      </c>
      <c r="K1094">
        <v>11</v>
      </c>
      <c r="M1094">
        <f t="shared" si="70"/>
        <v>1.6214713250298407</v>
      </c>
      <c r="N1094">
        <f t="shared" si="71"/>
        <v>-0.42320406025510898</v>
      </c>
    </row>
    <row r="1095" spans="1:14" x14ac:dyDescent="0.35">
      <c r="A1095">
        <v>1093</v>
      </c>
      <c r="B1095" t="s">
        <v>2</v>
      </c>
      <c r="C1095" t="s">
        <v>68</v>
      </c>
      <c r="D1095">
        <v>0.25</v>
      </c>
      <c r="E1095">
        <v>0.75</v>
      </c>
      <c r="F1095">
        <v>333.15</v>
      </c>
      <c r="G1095">
        <v>432.2</v>
      </c>
      <c r="H1095">
        <f t="shared" si="68"/>
        <v>-4.49</v>
      </c>
      <c r="I1095">
        <v>1.1220643809589084E-2</v>
      </c>
      <c r="J1095" t="str">
        <f t="shared" si="69"/>
        <v>CC(=O)OCC[N+](C)(C)C.[Cl-]C1=CN=CN1</v>
      </c>
      <c r="K1095">
        <v>11</v>
      </c>
      <c r="M1095">
        <f t="shared" si="70"/>
        <v>1.6214713250298407</v>
      </c>
      <c r="N1095">
        <f t="shared" si="71"/>
        <v>-0.37963572052872585</v>
      </c>
    </row>
    <row r="1096" spans="1:14" x14ac:dyDescent="0.35">
      <c r="A1096">
        <v>1094</v>
      </c>
      <c r="B1096" t="s">
        <v>2</v>
      </c>
      <c r="C1096" t="s">
        <v>68</v>
      </c>
      <c r="D1096">
        <v>0.25</v>
      </c>
      <c r="E1096">
        <v>0.75</v>
      </c>
      <c r="F1096">
        <v>333.15</v>
      </c>
      <c r="G1096">
        <v>525.79999999999995</v>
      </c>
      <c r="H1096">
        <f t="shared" si="68"/>
        <v>-4.3</v>
      </c>
      <c r="I1096">
        <v>1.3568559012200934E-2</v>
      </c>
      <c r="J1096" t="str">
        <f t="shared" si="69"/>
        <v>CC(=O)OCC[N+](C)(C)C.[Cl-]C1=CN=CN1</v>
      </c>
      <c r="K1096">
        <v>11</v>
      </c>
      <c r="M1096">
        <f t="shared" si="70"/>
        <v>1.6214713250298407</v>
      </c>
      <c r="N1096">
        <f t="shared" si="71"/>
        <v>-0.32728659859818093</v>
      </c>
    </row>
    <row r="1097" spans="1:14" x14ac:dyDescent="0.35">
      <c r="A1097">
        <v>1095</v>
      </c>
      <c r="B1097" t="s">
        <v>2</v>
      </c>
      <c r="C1097" t="s">
        <v>68</v>
      </c>
      <c r="D1097">
        <v>0.25</v>
      </c>
      <c r="E1097">
        <v>0.75</v>
      </c>
      <c r="F1097">
        <v>333.15</v>
      </c>
      <c r="G1097">
        <v>591.6</v>
      </c>
      <c r="H1097">
        <f t="shared" si="68"/>
        <v>-4.1864598511299063</v>
      </c>
      <c r="I1097">
        <v>1.52E-2</v>
      </c>
      <c r="J1097" t="str">
        <f t="shared" si="69"/>
        <v>CC(=O)OCC[N+](C)(C)C.[Cl-]C1=CN=CN1</v>
      </c>
      <c r="K1097">
        <v>11</v>
      </c>
      <c r="M1097">
        <f t="shared" si="70"/>
        <v>1.6214713250298407</v>
      </c>
      <c r="N1097">
        <f t="shared" si="71"/>
        <v>-0.29048561330940037</v>
      </c>
    </row>
    <row r="1098" spans="1:14" x14ac:dyDescent="0.35">
      <c r="A1098">
        <v>1096</v>
      </c>
      <c r="B1098" t="s">
        <v>7</v>
      </c>
      <c r="C1098" t="s">
        <v>50</v>
      </c>
      <c r="D1098">
        <v>0.25</v>
      </c>
      <c r="E1098">
        <v>0.75</v>
      </c>
      <c r="F1098">
        <v>293.14999999999998</v>
      </c>
      <c r="G1098">
        <v>51.5</v>
      </c>
      <c r="H1098">
        <f t="shared" si="68"/>
        <v>-6.17</v>
      </c>
      <c r="I1098">
        <v>2.0912360005151103E-3</v>
      </c>
      <c r="J1098" t="str">
        <f t="shared" si="69"/>
        <v>C[N+](C)(C)CCO.[Cl-]COC1=CC=CC=C1O</v>
      </c>
      <c r="K1098">
        <v>90</v>
      </c>
      <c r="M1098">
        <f t="shared" si="70"/>
        <v>-1.5133953811599403</v>
      </c>
      <c r="N1098">
        <f t="shared" si="71"/>
        <v>-0.59255570684238479</v>
      </c>
    </row>
    <row r="1099" spans="1:14" x14ac:dyDescent="0.35">
      <c r="A1099">
        <v>1097</v>
      </c>
      <c r="B1099" t="s">
        <v>7</v>
      </c>
      <c r="C1099" t="s">
        <v>50</v>
      </c>
      <c r="D1099">
        <v>0.25</v>
      </c>
      <c r="E1099">
        <v>0.75</v>
      </c>
      <c r="F1099">
        <v>293.14999999999998</v>
      </c>
      <c r="G1099">
        <v>138.1</v>
      </c>
      <c r="H1099">
        <f t="shared" si="68"/>
        <v>-5.2</v>
      </c>
      <c r="I1099">
        <v>5.5165644207607716E-3</v>
      </c>
      <c r="J1099" t="str">
        <f t="shared" si="69"/>
        <v>C[N+](C)(C)CCO.[Cl-]COC1=CC=CC=C1O</v>
      </c>
      <c r="K1099">
        <v>90</v>
      </c>
      <c r="M1099">
        <f t="shared" si="70"/>
        <v>-1.5133953811599403</v>
      </c>
      <c r="N1099">
        <f t="shared" si="71"/>
        <v>-0.54412158334681648</v>
      </c>
    </row>
    <row r="1100" spans="1:14" x14ac:dyDescent="0.35">
      <c r="A1100">
        <v>1098</v>
      </c>
      <c r="B1100" t="s">
        <v>7</v>
      </c>
      <c r="C1100" t="s">
        <v>50</v>
      </c>
      <c r="D1100">
        <v>0.25</v>
      </c>
      <c r="E1100">
        <v>0.75</v>
      </c>
      <c r="F1100">
        <v>293.14999999999998</v>
      </c>
      <c r="G1100">
        <v>236.7</v>
      </c>
      <c r="H1100">
        <f t="shared" si="68"/>
        <v>-4.67</v>
      </c>
      <c r="I1100">
        <v>9.3722695270060576E-3</v>
      </c>
      <c r="J1100" t="str">
        <f t="shared" si="69"/>
        <v>C[N+](C)(C)CCO.[Cl-]COC1=CC=CC=C1O</v>
      </c>
      <c r="K1100">
        <v>90</v>
      </c>
      <c r="M1100">
        <f t="shared" si="70"/>
        <v>-1.5133953811599403</v>
      </c>
      <c r="N1100">
        <f t="shared" si="71"/>
        <v>-0.48897603396271672</v>
      </c>
    </row>
    <row r="1101" spans="1:14" x14ac:dyDescent="0.35">
      <c r="A1101">
        <v>1099</v>
      </c>
      <c r="B1101" t="s">
        <v>7</v>
      </c>
      <c r="C1101" t="s">
        <v>50</v>
      </c>
      <c r="D1101">
        <v>0.25</v>
      </c>
      <c r="E1101">
        <v>0.75</v>
      </c>
      <c r="F1101">
        <v>293.14999999999998</v>
      </c>
      <c r="G1101">
        <v>329.2</v>
      </c>
      <c r="H1101">
        <f t="shared" si="68"/>
        <v>-4.3351430487750315</v>
      </c>
      <c r="I1101">
        <v>1.3100000000000001E-2</v>
      </c>
      <c r="J1101" t="str">
        <f t="shared" si="69"/>
        <v>C[N+](C)(C)CCO.[Cl-]COC1=CC=CC=C1O</v>
      </c>
      <c r="K1101">
        <v>90</v>
      </c>
      <c r="M1101">
        <f t="shared" si="70"/>
        <v>-1.5133953811599403</v>
      </c>
      <c r="N1101">
        <f t="shared" si="71"/>
        <v>-0.43724212607195378</v>
      </c>
    </row>
    <row r="1102" spans="1:14" x14ac:dyDescent="0.35">
      <c r="A1102">
        <v>1100</v>
      </c>
      <c r="B1102" t="s">
        <v>7</v>
      </c>
      <c r="C1102" t="s">
        <v>50</v>
      </c>
      <c r="D1102">
        <v>0.25</v>
      </c>
      <c r="E1102">
        <v>0.75</v>
      </c>
      <c r="F1102">
        <v>293.14999999999998</v>
      </c>
      <c r="G1102">
        <v>427.5</v>
      </c>
      <c r="H1102">
        <f t="shared" si="68"/>
        <v>-4.08</v>
      </c>
      <c r="I1102">
        <v>1.6907465652705279E-2</v>
      </c>
      <c r="J1102" t="str">
        <f t="shared" si="69"/>
        <v>C[N+](C)(C)CCO.[Cl-]COC1=CC=CC=C1O</v>
      </c>
      <c r="K1102">
        <v>90</v>
      </c>
      <c r="M1102">
        <f t="shared" si="70"/>
        <v>-1.5133953811599403</v>
      </c>
      <c r="N1102">
        <f t="shared" si="71"/>
        <v>-0.38226436233506739</v>
      </c>
    </row>
    <row r="1103" spans="1:14" x14ac:dyDescent="0.35">
      <c r="A1103">
        <v>1101</v>
      </c>
      <c r="B1103" t="s">
        <v>7</v>
      </c>
      <c r="C1103" t="s">
        <v>50</v>
      </c>
      <c r="D1103">
        <v>0.25</v>
      </c>
      <c r="E1103">
        <v>0.75</v>
      </c>
      <c r="F1103">
        <v>293.14999999999998</v>
      </c>
      <c r="G1103">
        <v>529.4</v>
      </c>
      <c r="H1103">
        <f t="shared" si="68"/>
        <v>-3.84</v>
      </c>
      <c r="I1103">
        <v>2.1493601345089923E-2</v>
      </c>
      <c r="J1103" t="str">
        <f t="shared" si="69"/>
        <v>C[N+](C)(C)CCO.[Cl-]COC1=CC=CC=C1O</v>
      </c>
      <c r="K1103">
        <v>90</v>
      </c>
      <c r="M1103">
        <f t="shared" si="70"/>
        <v>-1.5133953811599403</v>
      </c>
      <c r="N1103">
        <f t="shared" si="71"/>
        <v>-0.32527317083162149</v>
      </c>
    </row>
    <row r="1104" spans="1:14" x14ac:dyDescent="0.35">
      <c r="A1104">
        <v>1102</v>
      </c>
      <c r="B1104" t="s">
        <v>7</v>
      </c>
      <c r="C1104" t="s">
        <v>50</v>
      </c>
      <c r="D1104">
        <v>0.25</v>
      </c>
      <c r="E1104">
        <v>0.75</v>
      </c>
      <c r="F1104">
        <v>303.14999999999998</v>
      </c>
      <c r="G1104">
        <v>55.3</v>
      </c>
      <c r="H1104">
        <f t="shared" si="68"/>
        <v>-6.21</v>
      </c>
      <c r="I1104">
        <v>2.0092374640700602E-3</v>
      </c>
      <c r="J1104" t="str">
        <f t="shared" si="69"/>
        <v>C[N+](C)(C)CCO.[Cl-]COC1=CC=CC=C1O</v>
      </c>
      <c r="K1104">
        <v>90</v>
      </c>
      <c r="M1104">
        <f t="shared" si="70"/>
        <v>-0.72967870461249518</v>
      </c>
      <c r="N1104">
        <f t="shared" si="71"/>
        <v>-0.59043042197768314</v>
      </c>
    </row>
    <row r="1105" spans="1:14" x14ac:dyDescent="0.35">
      <c r="A1105">
        <v>1103</v>
      </c>
      <c r="B1105" t="s">
        <v>7</v>
      </c>
      <c r="C1105" t="s">
        <v>50</v>
      </c>
      <c r="D1105">
        <v>0.25</v>
      </c>
      <c r="E1105">
        <v>0.75</v>
      </c>
      <c r="F1105">
        <v>303.14999999999998</v>
      </c>
      <c r="G1105">
        <v>132.30000000000001</v>
      </c>
      <c r="H1105">
        <f t="shared" si="68"/>
        <v>-5.4</v>
      </c>
      <c r="I1105">
        <v>4.5165809426126659E-3</v>
      </c>
      <c r="J1105" t="str">
        <f t="shared" si="69"/>
        <v>C[N+](C)(C)CCO.[Cl-]COC1=CC=CC=C1O</v>
      </c>
      <c r="K1105">
        <v>90</v>
      </c>
      <c r="M1105">
        <f t="shared" si="70"/>
        <v>-0.72967870461249518</v>
      </c>
      <c r="N1105">
        <f t="shared" si="71"/>
        <v>-0.54736543919294001</v>
      </c>
    </row>
    <row r="1106" spans="1:14" x14ac:dyDescent="0.35">
      <c r="A1106">
        <v>1104</v>
      </c>
      <c r="B1106" t="s">
        <v>7</v>
      </c>
      <c r="C1106" t="s">
        <v>50</v>
      </c>
      <c r="D1106">
        <v>0.25</v>
      </c>
      <c r="E1106">
        <v>0.75</v>
      </c>
      <c r="F1106">
        <v>303.14999999999998</v>
      </c>
      <c r="G1106">
        <v>243.8</v>
      </c>
      <c r="H1106">
        <f t="shared" si="68"/>
        <v>-4.8</v>
      </c>
      <c r="I1106">
        <v>8.2297470490200302E-3</v>
      </c>
      <c r="J1106" t="str">
        <f t="shared" si="69"/>
        <v>C[N+](C)(C)CCO.[Cl-]COC1=CC=CC=C1O</v>
      </c>
      <c r="K1106">
        <v>90</v>
      </c>
      <c r="M1106">
        <f t="shared" si="70"/>
        <v>-0.72967870461249518</v>
      </c>
      <c r="N1106">
        <f t="shared" si="71"/>
        <v>-0.485005106978669</v>
      </c>
    </row>
    <row r="1107" spans="1:14" x14ac:dyDescent="0.35">
      <c r="A1107">
        <v>1105</v>
      </c>
      <c r="B1107" t="s">
        <v>7</v>
      </c>
      <c r="C1107" t="s">
        <v>50</v>
      </c>
      <c r="D1107">
        <v>0.25</v>
      </c>
      <c r="E1107">
        <v>0.75</v>
      </c>
      <c r="F1107">
        <v>303.14999999999998</v>
      </c>
      <c r="G1107">
        <v>335.5</v>
      </c>
      <c r="H1107">
        <f t="shared" si="68"/>
        <v>-4.4800000000000004</v>
      </c>
      <c r="I1107">
        <v>1.1333413154667387E-2</v>
      </c>
      <c r="J1107" t="str">
        <f t="shared" si="69"/>
        <v>C[N+](C)(C)CCO.[Cl-]COC1=CC=CC=C1O</v>
      </c>
      <c r="K1107">
        <v>90</v>
      </c>
      <c r="M1107">
        <f t="shared" si="70"/>
        <v>-0.72967870461249518</v>
      </c>
      <c r="N1107">
        <f t="shared" si="71"/>
        <v>-0.43371862748047479</v>
      </c>
    </row>
    <row r="1108" spans="1:14" x14ac:dyDescent="0.35">
      <c r="A1108">
        <v>1106</v>
      </c>
      <c r="B1108" t="s">
        <v>7</v>
      </c>
      <c r="C1108" t="s">
        <v>50</v>
      </c>
      <c r="D1108">
        <v>0.25</v>
      </c>
      <c r="E1108">
        <v>0.75</v>
      </c>
      <c r="F1108">
        <v>303.14999999999998</v>
      </c>
      <c r="G1108">
        <v>433.8</v>
      </c>
      <c r="H1108">
        <f t="shared" si="68"/>
        <v>-4.2300000000000004</v>
      </c>
      <c r="I1108">
        <v>1.4552390548416123E-2</v>
      </c>
      <c r="J1108" t="str">
        <f t="shared" si="69"/>
        <v>C[N+](C)(C)CCO.[Cl-]COC1=CC=CC=C1O</v>
      </c>
      <c r="K1108">
        <v>90</v>
      </c>
      <c r="M1108">
        <f t="shared" si="70"/>
        <v>-0.72967870461249518</v>
      </c>
      <c r="N1108">
        <f t="shared" si="71"/>
        <v>-0.3787408637435884</v>
      </c>
    </row>
    <row r="1109" spans="1:14" x14ac:dyDescent="0.35">
      <c r="A1109">
        <v>1107</v>
      </c>
      <c r="B1109" t="s">
        <v>7</v>
      </c>
      <c r="C1109" t="s">
        <v>50</v>
      </c>
      <c r="D1109">
        <v>0.25</v>
      </c>
      <c r="E1109">
        <v>0.75</v>
      </c>
      <c r="F1109">
        <v>303.14999999999998</v>
      </c>
      <c r="G1109">
        <v>533.20000000000005</v>
      </c>
      <c r="H1109">
        <f t="shared" si="68"/>
        <v>-4.03</v>
      </c>
      <c r="I1109">
        <v>1.7774329953659442E-2</v>
      </c>
      <c r="J1109" t="str">
        <f t="shared" si="69"/>
        <v>C[N+](C)(C)CCO.[Cl-]COC1=CC=CC=C1O</v>
      </c>
      <c r="K1109">
        <v>90</v>
      </c>
      <c r="M1109">
        <f t="shared" si="70"/>
        <v>-0.72967870461249518</v>
      </c>
      <c r="N1109">
        <f t="shared" si="71"/>
        <v>-0.32314788596691985</v>
      </c>
    </row>
    <row r="1110" spans="1:14" x14ac:dyDescent="0.35">
      <c r="A1110">
        <v>1108</v>
      </c>
      <c r="B1110" t="s">
        <v>7</v>
      </c>
      <c r="C1110" t="s">
        <v>50</v>
      </c>
      <c r="D1110">
        <v>0.25</v>
      </c>
      <c r="E1110">
        <v>0.75</v>
      </c>
      <c r="F1110">
        <v>313.14999999999998</v>
      </c>
      <c r="G1110">
        <v>57.5</v>
      </c>
      <c r="H1110">
        <f t="shared" si="68"/>
        <v>-6.38</v>
      </c>
      <c r="I1110">
        <v>1.6951229566232505E-3</v>
      </c>
      <c r="J1110" t="str">
        <f t="shared" si="69"/>
        <v>C[N+](C)(C)CCO.[Cl-]COC1=CC=CC=C1O</v>
      </c>
      <c r="K1110">
        <v>90</v>
      </c>
      <c r="M1110">
        <f t="shared" si="70"/>
        <v>5.4037971934950142E-2</v>
      </c>
      <c r="N1110">
        <f t="shared" si="71"/>
        <v>-0.58919999389811906</v>
      </c>
    </row>
    <row r="1111" spans="1:14" x14ac:dyDescent="0.35">
      <c r="A1111">
        <v>1109</v>
      </c>
      <c r="B1111" t="s">
        <v>7</v>
      </c>
      <c r="C1111" t="s">
        <v>50</v>
      </c>
      <c r="D1111">
        <v>0.25</v>
      </c>
      <c r="E1111">
        <v>0.75</v>
      </c>
      <c r="F1111">
        <v>313.14999999999998</v>
      </c>
      <c r="G1111">
        <v>145.69999999999999</v>
      </c>
      <c r="H1111">
        <f t="shared" si="68"/>
        <v>-5.5</v>
      </c>
      <c r="I1111">
        <v>4.0867714384640666E-3</v>
      </c>
      <c r="J1111" t="str">
        <f t="shared" si="69"/>
        <v>C[N+](C)(C)CCO.[Cl-]COC1=CC=CC=C1O</v>
      </c>
      <c r="K1111">
        <v>90</v>
      </c>
      <c r="M1111">
        <f t="shared" si="70"/>
        <v>5.4037971934950142E-2</v>
      </c>
      <c r="N1111">
        <f t="shared" si="71"/>
        <v>-0.53987101361741319</v>
      </c>
    </row>
    <row r="1112" spans="1:14" x14ac:dyDescent="0.35">
      <c r="A1112">
        <v>1110</v>
      </c>
      <c r="B1112" t="s">
        <v>7</v>
      </c>
      <c r="C1112" t="s">
        <v>50</v>
      </c>
      <c r="D1112">
        <v>0.25</v>
      </c>
      <c r="E1112">
        <v>0.75</v>
      </c>
      <c r="F1112">
        <v>313.14999999999998</v>
      </c>
      <c r="G1112">
        <v>233.2</v>
      </c>
      <c r="H1112">
        <f t="shared" si="68"/>
        <v>-5.04</v>
      </c>
      <c r="I1112">
        <v>6.4737483182894049E-3</v>
      </c>
      <c r="J1112" t="str">
        <f t="shared" si="69"/>
        <v>C[N+](C)(C)CCO.[Cl-]COC1=CC=CC=C1O</v>
      </c>
      <c r="K1112">
        <v>90</v>
      </c>
      <c r="M1112">
        <f t="shared" si="70"/>
        <v>5.4037971934950142E-2</v>
      </c>
      <c r="N1112">
        <f t="shared" si="71"/>
        <v>-0.49093353318020505</v>
      </c>
    </row>
    <row r="1113" spans="1:14" x14ac:dyDescent="0.35">
      <c r="A1113">
        <v>1111</v>
      </c>
      <c r="B1113" t="s">
        <v>7</v>
      </c>
      <c r="C1113" t="s">
        <v>50</v>
      </c>
      <c r="D1113">
        <v>0.25</v>
      </c>
      <c r="E1113">
        <v>0.75</v>
      </c>
      <c r="F1113">
        <v>313.14999999999998</v>
      </c>
      <c r="G1113">
        <v>330.3</v>
      </c>
      <c r="H1113">
        <f t="shared" si="68"/>
        <v>-4.68</v>
      </c>
      <c r="I1113">
        <v>9.2790138870647437E-3</v>
      </c>
      <c r="J1113" t="str">
        <f t="shared" si="69"/>
        <v>C[N+](C)(C)CCO.[Cl-]COC1=CC=CC=C1O</v>
      </c>
      <c r="K1113">
        <v>90</v>
      </c>
      <c r="M1113">
        <f t="shared" si="70"/>
        <v>5.4037971934950142E-2</v>
      </c>
      <c r="N1113">
        <f t="shared" si="71"/>
        <v>-0.4366269120321718</v>
      </c>
    </row>
    <row r="1114" spans="1:14" x14ac:dyDescent="0.35">
      <c r="A1114">
        <v>1112</v>
      </c>
      <c r="B1114" t="s">
        <v>7</v>
      </c>
      <c r="C1114" t="s">
        <v>50</v>
      </c>
      <c r="D1114">
        <v>0.25</v>
      </c>
      <c r="E1114">
        <v>0.75</v>
      </c>
      <c r="F1114">
        <v>313.14999999999998</v>
      </c>
      <c r="G1114">
        <v>429.6</v>
      </c>
      <c r="H1114">
        <f t="shared" si="68"/>
        <v>-4.41</v>
      </c>
      <c r="I1114">
        <v>1.2155178329914935E-2</v>
      </c>
      <c r="J1114" t="str">
        <f t="shared" si="69"/>
        <v>C[N+](C)(C)CCO.[Cl-]COC1=CC=CC=C1O</v>
      </c>
      <c r="K1114">
        <v>90</v>
      </c>
      <c r="M1114">
        <f t="shared" si="70"/>
        <v>5.4037971934950142E-2</v>
      </c>
      <c r="N1114">
        <f t="shared" si="71"/>
        <v>-0.38108986280457435</v>
      </c>
    </row>
    <row r="1115" spans="1:14" x14ac:dyDescent="0.35">
      <c r="A1115">
        <v>1113</v>
      </c>
      <c r="B1115" t="s">
        <v>7</v>
      </c>
      <c r="C1115" t="s">
        <v>50</v>
      </c>
      <c r="D1115">
        <v>0.25</v>
      </c>
      <c r="E1115">
        <v>0.75</v>
      </c>
      <c r="F1115">
        <v>313.14999999999998</v>
      </c>
      <c r="G1115">
        <v>529.4</v>
      </c>
      <c r="H1115">
        <f t="shared" si="68"/>
        <v>-4.2</v>
      </c>
      <c r="I1115">
        <v>1.4995576820477703E-2</v>
      </c>
      <c r="J1115" t="str">
        <f t="shared" si="69"/>
        <v>C[N+](C)(C)CCO.[Cl-]COC1=CC=CC=C1O</v>
      </c>
      <c r="K1115">
        <v>90</v>
      </c>
      <c r="M1115">
        <f t="shared" si="70"/>
        <v>5.4037971934950142E-2</v>
      </c>
      <c r="N1115">
        <f t="shared" si="71"/>
        <v>-0.32527317083162149</v>
      </c>
    </row>
    <row r="1116" spans="1:14" x14ac:dyDescent="0.35">
      <c r="A1116">
        <v>1114</v>
      </c>
      <c r="B1116" t="s">
        <v>7</v>
      </c>
      <c r="C1116" t="s">
        <v>50</v>
      </c>
      <c r="D1116">
        <v>0.25</v>
      </c>
      <c r="E1116">
        <v>0.75</v>
      </c>
      <c r="F1116">
        <v>323.14999999999998</v>
      </c>
      <c r="G1116">
        <v>63.1</v>
      </c>
      <c r="H1116">
        <f t="shared" si="68"/>
        <v>-6.57</v>
      </c>
      <c r="I1116">
        <v>1.4017974121366744E-3</v>
      </c>
      <c r="J1116" t="str">
        <f t="shared" si="69"/>
        <v>C[N+](C)(C)CCO.[Cl-]COC1=CC=CC=C1O</v>
      </c>
      <c r="K1116">
        <v>90</v>
      </c>
      <c r="M1116">
        <f t="shared" si="70"/>
        <v>0.83775464848239545</v>
      </c>
      <c r="N1116">
        <f t="shared" si="71"/>
        <v>-0.58606799515013774</v>
      </c>
    </row>
    <row r="1117" spans="1:14" x14ac:dyDescent="0.35">
      <c r="A1117">
        <v>1115</v>
      </c>
      <c r="B1117" t="s">
        <v>7</v>
      </c>
      <c r="C1117" t="s">
        <v>50</v>
      </c>
      <c r="D1117">
        <v>0.25</v>
      </c>
      <c r="E1117">
        <v>0.75</v>
      </c>
      <c r="F1117">
        <v>323.14999999999998</v>
      </c>
      <c r="G1117">
        <v>160.6</v>
      </c>
      <c r="H1117">
        <f t="shared" si="68"/>
        <v>-5.55</v>
      </c>
      <c r="I1117">
        <v>3.8874572434761303E-3</v>
      </c>
      <c r="J1117" t="str">
        <f t="shared" si="69"/>
        <v>C[N+](C)(C)CCO.[Cl-]COC1=CC=CC=C1O</v>
      </c>
      <c r="K1117">
        <v>90</v>
      </c>
      <c r="M1117">
        <f t="shared" si="70"/>
        <v>0.83775464848239545</v>
      </c>
      <c r="N1117">
        <f t="shared" si="71"/>
        <v>-0.53153765980582002</v>
      </c>
    </row>
    <row r="1118" spans="1:14" x14ac:dyDescent="0.35">
      <c r="A1118">
        <v>1116</v>
      </c>
      <c r="B1118" t="s">
        <v>7</v>
      </c>
      <c r="C1118" t="s">
        <v>50</v>
      </c>
      <c r="D1118">
        <v>0.25</v>
      </c>
      <c r="E1118">
        <v>0.75</v>
      </c>
      <c r="F1118">
        <v>323.14999999999998</v>
      </c>
      <c r="G1118">
        <v>239.9</v>
      </c>
      <c r="H1118">
        <f t="shared" si="68"/>
        <v>-5.17</v>
      </c>
      <c r="I1118">
        <v>5.684568819219595E-3</v>
      </c>
      <c r="J1118" t="str">
        <f t="shared" si="69"/>
        <v>C[N+](C)(C)CCO.[Cl-]COC1=CC=CC=C1O</v>
      </c>
      <c r="K1118">
        <v>90</v>
      </c>
      <c r="M1118">
        <f t="shared" si="70"/>
        <v>0.83775464848239545</v>
      </c>
      <c r="N1118">
        <f t="shared" si="71"/>
        <v>-0.4871863203924417</v>
      </c>
    </row>
    <row r="1119" spans="1:14" x14ac:dyDescent="0.35">
      <c r="A1119">
        <v>1117</v>
      </c>
      <c r="B1119" t="s">
        <v>7</v>
      </c>
      <c r="C1119" t="s">
        <v>50</v>
      </c>
      <c r="D1119">
        <v>0.25</v>
      </c>
      <c r="E1119">
        <v>0.75</v>
      </c>
      <c r="F1119">
        <v>323.14999999999998</v>
      </c>
      <c r="G1119">
        <v>341.4</v>
      </c>
      <c r="H1119">
        <f t="shared" si="68"/>
        <v>-4.79</v>
      </c>
      <c r="I1119">
        <v>8.3124573819231187E-3</v>
      </c>
      <c r="J1119" t="str">
        <f t="shared" si="69"/>
        <v>C[N+](C)(C)CCO.[Cl-]COC1=CC=CC=C1O</v>
      </c>
      <c r="K1119">
        <v>90</v>
      </c>
      <c r="M1119">
        <f t="shared" si="70"/>
        <v>0.83775464848239545</v>
      </c>
      <c r="N1119">
        <f t="shared" si="71"/>
        <v>-0.43041884308528022</v>
      </c>
    </row>
    <row r="1120" spans="1:14" x14ac:dyDescent="0.35">
      <c r="A1120">
        <v>1118</v>
      </c>
      <c r="B1120" t="s">
        <v>7</v>
      </c>
      <c r="C1120" t="s">
        <v>50</v>
      </c>
      <c r="D1120">
        <v>0.25</v>
      </c>
      <c r="E1120">
        <v>0.75</v>
      </c>
      <c r="F1120">
        <v>323.14999999999998</v>
      </c>
      <c r="G1120">
        <v>442.6</v>
      </c>
      <c r="H1120">
        <f t="shared" si="68"/>
        <v>-4.54</v>
      </c>
      <c r="I1120">
        <v>1.0673406553522925E-2</v>
      </c>
      <c r="J1120" t="str">
        <f t="shared" si="69"/>
        <v>C[N+](C)(C)CCO.[Cl-]COC1=CC=CC=C1O</v>
      </c>
      <c r="K1120">
        <v>90</v>
      </c>
      <c r="M1120">
        <f t="shared" si="70"/>
        <v>0.83775464848239545</v>
      </c>
      <c r="N1120">
        <f t="shared" si="71"/>
        <v>-0.37381915142533201</v>
      </c>
    </row>
    <row r="1121" spans="1:14" x14ac:dyDescent="0.35">
      <c r="A1121">
        <v>1119</v>
      </c>
      <c r="B1121" t="s">
        <v>7</v>
      </c>
      <c r="C1121" t="s">
        <v>50</v>
      </c>
      <c r="D1121">
        <v>0.25</v>
      </c>
      <c r="E1121">
        <v>0.75</v>
      </c>
      <c r="F1121">
        <v>323.14999999999998</v>
      </c>
      <c r="G1121">
        <v>536.5</v>
      </c>
      <c r="H1121">
        <f t="shared" si="68"/>
        <v>-4.3600000000000003</v>
      </c>
      <c r="I1121">
        <v>1.2778387649535761E-2</v>
      </c>
      <c r="J1121" t="str">
        <f t="shared" si="69"/>
        <v>C[N+](C)(C)CCO.[Cl-]COC1=CC=CC=C1O</v>
      </c>
      <c r="K1121">
        <v>90</v>
      </c>
      <c r="M1121">
        <f t="shared" si="70"/>
        <v>0.83775464848239545</v>
      </c>
      <c r="N1121">
        <f t="shared" si="71"/>
        <v>-0.32130224384757378</v>
      </c>
    </row>
    <row r="1122" spans="1:14" x14ac:dyDescent="0.35">
      <c r="A1122">
        <v>1120</v>
      </c>
      <c r="B1122" t="s">
        <v>8</v>
      </c>
      <c r="C1122" t="s">
        <v>50</v>
      </c>
      <c r="D1122">
        <v>0.25</v>
      </c>
      <c r="E1122">
        <v>0.75</v>
      </c>
      <c r="F1122">
        <v>293.14999999999998</v>
      </c>
      <c r="G1122">
        <v>45.1</v>
      </c>
      <c r="H1122">
        <f t="shared" si="68"/>
        <v>-6.03</v>
      </c>
      <c r="I1122">
        <v>2.4054939786195095E-3</v>
      </c>
      <c r="J1122" t="str">
        <f t="shared" si="69"/>
        <v>CC[NH2+]CC.[Cl-]COC1=CC=CC=C1O</v>
      </c>
      <c r="K1122">
        <v>62</v>
      </c>
      <c r="M1122">
        <f t="shared" si="70"/>
        <v>-1.5133953811599403</v>
      </c>
      <c r="N1122">
        <f t="shared" si="71"/>
        <v>-0.59613513398293494</v>
      </c>
    </row>
    <row r="1123" spans="1:14" x14ac:dyDescent="0.35">
      <c r="A1123">
        <v>1121</v>
      </c>
      <c r="B1123" t="s">
        <v>8</v>
      </c>
      <c r="C1123" t="s">
        <v>50</v>
      </c>
      <c r="D1123">
        <v>0.25</v>
      </c>
      <c r="E1123">
        <v>0.75</v>
      </c>
      <c r="F1123">
        <v>293.14999999999998</v>
      </c>
      <c r="G1123">
        <v>137.1</v>
      </c>
      <c r="H1123">
        <f t="shared" si="68"/>
        <v>-5.04</v>
      </c>
      <c r="I1123">
        <v>6.4737483182894049E-3</v>
      </c>
      <c r="J1123" t="str">
        <f t="shared" si="69"/>
        <v>CC[NH2+]CC.[Cl-]COC1=CC=CC=C1O</v>
      </c>
      <c r="K1123">
        <v>62</v>
      </c>
      <c r="M1123">
        <f t="shared" si="70"/>
        <v>-1.5133953811599403</v>
      </c>
      <c r="N1123">
        <f t="shared" si="71"/>
        <v>-0.54468086883752742</v>
      </c>
    </row>
    <row r="1124" spans="1:14" x14ac:dyDescent="0.35">
      <c r="A1124">
        <v>1122</v>
      </c>
      <c r="B1124" t="s">
        <v>8</v>
      </c>
      <c r="C1124" t="s">
        <v>50</v>
      </c>
      <c r="D1124">
        <v>0.25</v>
      </c>
      <c r="E1124">
        <v>0.75</v>
      </c>
      <c r="F1124">
        <v>293.14999999999998</v>
      </c>
      <c r="G1124">
        <v>222.8</v>
      </c>
      <c r="H1124">
        <f t="shared" si="68"/>
        <v>-4.55</v>
      </c>
      <c r="I1124">
        <v>1.0567204383852655E-2</v>
      </c>
      <c r="J1124" t="str">
        <f t="shared" si="69"/>
        <v>CC[NH2+]CC.[Cl-]COC1=CC=CC=C1O</v>
      </c>
      <c r="K1124">
        <v>62</v>
      </c>
      <c r="M1124">
        <f t="shared" si="70"/>
        <v>-1.5133953811599403</v>
      </c>
      <c r="N1124">
        <f t="shared" si="71"/>
        <v>-0.49675010228359895</v>
      </c>
    </row>
    <row r="1125" spans="1:14" x14ac:dyDescent="0.35">
      <c r="A1125">
        <v>1123</v>
      </c>
      <c r="B1125" t="s">
        <v>8</v>
      </c>
      <c r="C1125" t="s">
        <v>50</v>
      </c>
      <c r="D1125">
        <v>0.25</v>
      </c>
      <c r="E1125">
        <v>0.75</v>
      </c>
      <c r="F1125">
        <v>293.14999999999998</v>
      </c>
      <c r="G1125">
        <v>320.60000000000002</v>
      </c>
      <c r="H1125">
        <f t="shared" si="68"/>
        <v>-4.1733877695625532</v>
      </c>
      <c r="I1125">
        <v>1.54E-2</v>
      </c>
      <c r="J1125" t="str">
        <f t="shared" si="69"/>
        <v>CC[NH2+]CC.[Cl-]COC1=CC=CC=C1O</v>
      </c>
      <c r="K1125">
        <v>62</v>
      </c>
      <c r="M1125">
        <f t="shared" si="70"/>
        <v>-1.5133953811599403</v>
      </c>
      <c r="N1125">
        <f t="shared" si="71"/>
        <v>-0.44205198129206796</v>
      </c>
    </row>
    <row r="1126" spans="1:14" x14ac:dyDescent="0.35">
      <c r="A1126">
        <v>1124</v>
      </c>
      <c r="B1126" t="s">
        <v>8</v>
      </c>
      <c r="C1126" t="s">
        <v>50</v>
      </c>
      <c r="D1126">
        <v>0.25</v>
      </c>
      <c r="E1126">
        <v>0.75</v>
      </c>
      <c r="F1126">
        <v>293.14999999999998</v>
      </c>
      <c r="G1126">
        <v>414.9</v>
      </c>
      <c r="H1126">
        <f t="shared" si="68"/>
        <v>-3.91</v>
      </c>
      <c r="I1126">
        <v>2.0040501061684014E-2</v>
      </c>
      <c r="J1126" t="str">
        <f t="shared" si="69"/>
        <v>CC[NH2+]CC.[Cl-]COC1=CC=CC=C1O</v>
      </c>
      <c r="K1126">
        <v>62</v>
      </c>
      <c r="M1126">
        <f t="shared" si="70"/>
        <v>-1.5133953811599403</v>
      </c>
      <c r="N1126">
        <f t="shared" si="71"/>
        <v>-0.38931135951802537</v>
      </c>
    </row>
    <row r="1127" spans="1:14" x14ac:dyDescent="0.35">
      <c r="A1127">
        <v>1125</v>
      </c>
      <c r="B1127" t="s">
        <v>8</v>
      </c>
      <c r="C1127" t="s">
        <v>50</v>
      </c>
      <c r="D1127">
        <v>0.25</v>
      </c>
      <c r="E1127">
        <v>0.75</v>
      </c>
      <c r="F1127">
        <v>293.14999999999998</v>
      </c>
      <c r="G1127">
        <v>517.70000000000005</v>
      </c>
      <c r="H1127">
        <f t="shared" si="68"/>
        <v>-3.6928874755114753</v>
      </c>
      <c r="I1127">
        <v>2.4899999999999999E-2</v>
      </c>
      <c r="J1127" t="str">
        <f t="shared" si="69"/>
        <v>CC[NH2+]CC.[Cl-]COC1=CC=CC=C1O</v>
      </c>
      <c r="K1127">
        <v>62</v>
      </c>
      <c r="M1127">
        <f t="shared" si="70"/>
        <v>-1.5133953811599403</v>
      </c>
      <c r="N1127">
        <f t="shared" si="71"/>
        <v>-0.33181681107293959</v>
      </c>
    </row>
    <row r="1128" spans="1:14" x14ac:dyDescent="0.35">
      <c r="A1128">
        <v>1126</v>
      </c>
      <c r="B1128" t="s">
        <v>8</v>
      </c>
      <c r="C1128" t="s">
        <v>50</v>
      </c>
      <c r="D1128">
        <v>0.25</v>
      </c>
      <c r="E1128">
        <v>0.75</v>
      </c>
      <c r="F1128">
        <v>303.14999999999998</v>
      </c>
      <c r="G1128">
        <v>53.9</v>
      </c>
      <c r="H1128">
        <f t="shared" si="68"/>
        <v>-6.03</v>
      </c>
      <c r="I1128">
        <v>2.4054939786195095E-3</v>
      </c>
      <c r="J1128" t="str">
        <f t="shared" si="69"/>
        <v>CC[NH2+]CC.[Cl-]COC1=CC=CC=C1O</v>
      </c>
      <c r="K1128">
        <v>62</v>
      </c>
      <c r="M1128">
        <f t="shared" si="70"/>
        <v>-0.72967870461249518</v>
      </c>
      <c r="N1128">
        <f t="shared" si="71"/>
        <v>-0.59121342166467838</v>
      </c>
    </row>
    <row r="1129" spans="1:14" x14ac:dyDescent="0.35">
      <c r="A1129">
        <v>1127</v>
      </c>
      <c r="B1129" t="s">
        <v>8</v>
      </c>
      <c r="C1129" t="s">
        <v>50</v>
      </c>
      <c r="D1129">
        <v>0.25</v>
      </c>
      <c r="E1129">
        <v>0.75</v>
      </c>
      <c r="F1129">
        <v>303.14999999999998</v>
      </c>
      <c r="G1129">
        <v>133.6</v>
      </c>
      <c r="H1129">
        <f t="shared" si="68"/>
        <v>-5.12</v>
      </c>
      <c r="I1129">
        <v>5.9760228950059427E-3</v>
      </c>
      <c r="J1129" t="str">
        <f t="shared" si="69"/>
        <v>CC[NH2+]CC.[Cl-]COC1=CC=CC=C1O</v>
      </c>
      <c r="K1129">
        <v>62</v>
      </c>
      <c r="M1129">
        <f t="shared" si="70"/>
        <v>-0.72967870461249518</v>
      </c>
      <c r="N1129">
        <f t="shared" si="71"/>
        <v>-0.54663836805501576</v>
      </c>
    </row>
    <row r="1130" spans="1:14" x14ac:dyDescent="0.35">
      <c r="A1130">
        <v>1128</v>
      </c>
      <c r="B1130" t="s">
        <v>8</v>
      </c>
      <c r="C1130" t="s">
        <v>50</v>
      </c>
      <c r="D1130">
        <v>0.25</v>
      </c>
      <c r="E1130">
        <v>0.75</v>
      </c>
      <c r="F1130">
        <v>303.14999999999998</v>
      </c>
      <c r="G1130">
        <v>241.5</v>
      </c>
      <c r="H1130">
        <f t="shared" si="68"/>
        <v>-4.58</v>
      </c>
      <c r="I1130">
        <v>1.0254896296404022E-2</v>
      </c>
      <c r="J1130" t="str">
        <f t="shared" si="69"/>
        <v>CC[NH2+]CC.[Cl-]COC1=CC=CC=C1O</v>
      </c>
      <c r="K1130">
        <v>62</v>
      </c>
      <c r="M1130">
        <f t="shared" si="70"/>
        <v>-0.72967870461249518</v>
      </c>
      <c r="N1130">
        <f t="shared" si="71"/>
        <v>-0.48629146360730419</v>
      </c>
    </row>
    <row r="1131" spans="1:14" x14ac:dyDescent="0.35">
      <c r="A1131">
        <v>1129</v>
      </c>
      <c r="B1131" t="s">
        <v>8</v>
      </c>
      <c r="C1131" t="s">
        <v>50</v>
      </c>
      <c r="D1131">
        <v>0.25</v>
      </c>
      <c r="E1131">
        <v>0.75</v>
      </c>
      <c r="F1131">
        <v>303.14999999999998</v>
      </c>
      <c r="G1131">
        <v>339.1</v>
      </c>
      <c r="H1131">
        <f t="shared" si="68"/>
        <v>-4.25</v>
      </c>
      <c r="I1131">
        <v>1.4264233908999256E-2</v>
      </c>
      <c r="J1131" t="str">
        <f t="shared" si="69"/>
        <v>CC[NH2+]CC.[Cl-]COC1=CC=CC=C1O</v>
      </c>
      <c r="K1131">
        <v>62</v>
      </c>
      <c r="M1131">
        <f t="shared" si="70"/>
        <v>-0.72967870461249518</v>
      </c>
      <c r="N1131">
        <f t="shared" si="71"/>
        <v>-0.43170519971391536</v>
      </c>
    </row>
    <row r="1132" spans="1:14" x14ac:dyDescent="0.35">
      <c r="A1132">
        <v>1130</v>
      </c>
      <c r="B1132" t="s">
        <v>8</v>
      </c>
      <c r="C1132" t="s">
        <v>50</v>
      </c>
      <c r="D1132">
        <v>0.25</v>
      </c>
      <c r="E1132">
        <v>0.75</v>
      </c>
      <c r="F1132">
        <v>303.14999999999998</v>
      </c>
      <c r="G1132">
        <v>428.8</v>
      </c>
      <c r="H1132">
        <f t="shared" si="68"/>
        <v>-4.0199999999999996</v>
      </c>
      <c r="I1132">
        <v>1.7952964939502866E-2</v>
      </c>
      <c r="J1132" t="str">
        <f t="shared" si="69"/>
        <v>CC[NH2+]CC.[Cl-]COC1=CC=CC=C1O</v>
      </c>
      <c r="K1132">
        <v>62</v>
      </c>
      <c r="M1132">
        <f t="shared" si="70"/>
        <v>-0.72967870461249518</v>
      </c>
      <c r="N1132">
        <f t="shared" si="71"/>
        <v>-0.38153729119714314</v>
      </c>
    </row>
    <row r="1133" spans="1:14" x14ac:dyDescent="0.35">
      <c r="A1133">
        <v>1131</v>
      </c>
      <c r="B1133" t="s">
        <v>8</v>
      </c>
      <c r="C1133" t="s">
        <v>50</v>
      </c>
      <c r="D1133">
        <v>0.25</v>
      </c>
      <c r="E1133">
        <v>0.75</v>
      </c>
      <c r="F1133">
        <v>303.14999999999998</v>
      </c>
      <c r="G1133">
        <v>513.5</v>
      </c>
      <c r="H1133">
        <f t="shared" si="68"/>
        <v>-3.8350619642920178</v>
      </c>
      <c r="I1133">
        <v>2.1600000000000001E-2</v>
      </c>
      <c r="J1133" t="str">
        <f t="shared" si="69"/>
        <v>CC[NH2+]CC.[Cl-]COC1=CC=CC=C1O</v>
      </c>
      <c r="K1133">
        <v>62</v>
      </c>
      <c r="M1133">
        <f t="shared" si="70"/>
        <v>-0.72967870461249518</v>
      </c>
      <c r="N1133">
        <f t="shared" si="71"/>
        <v>-0.3341658101339256</v>
      </c>
    </row>
    <row r="1134" spans="1:14" x14ac:dyDescent="0.35">
      <c r="A1134">
        <v>1132</v>
      </c>
      <c r="B1134" t="s">
        <v>8</v>
      </c>
      <c r="C1134" t="s">
        <v>50</v>
      </c>
      <c r="D1134">
        <v>0.25</v>
      </c>
      <c r="E1134">
        <v>0.75</v>
      </c>
      <c r="F1134">
        <v>313.14999999999998</v>
      </c>
      <c r="G1134">
        <v>59.2</v>
      </c>
      <c r="H1134">
        <f t="shared" si="68"/>
        <v>-6.03</v>
      </c>
      <c r="I1134">
        <v>2.4054939786195095E-3</v>
      </c>
      <c r="J1134" t="str">
        <f t="shared" si="69"/>
        <v>CC[NH2+]CC.[Cl-]COC1=CC=CC=C1O</v>
      </c>
      <c r="K1134">
        <v>62</v>
      </c>
      <c r="M1134">
        <f t="shared" si="70"/>
        <v>5.4037971934950142E-2</v>
      </c>
      <c r="N1134">
        <f t="shared" si="71"/>
        <v>-0.58824920856391039</v>
      </c>
    </row>
    <row r="1135" spans="1:14" x14ac:dyDescent="0.35">
      <c r="A1135">
        <v>1133</v>
      </c>
      <c r="B1135" t="s">
        <v>8</v>
      </c>
      <c r="C1135" t="s">
        <v>50</v>
      </c>
      <c r="D1135">
        <v>0.25</v>
      </c>
      <c r="E1135">
        <v>0.75</v>
      </c>
      <c r="F1135">
        <v>313.14999999999998</v>
      </c>
      <c r="G1135">
        <v>182.9</v>
      </c>
      <c r="H1135">
        <f t="shared" si="68"/>
        <v>-4.99</v>
      </c>
      <c r="I1135">
        <v>6.8056644922305431E-3</v>
      </c>
      <c r="J1135" t="str">
        <f t="shared" si="69"/>
        <v>CC[NH2+]CC.[Cl-]COC1=CC=CC=C1O</v>
      </c>
      <c r="K1135">
        <v>62</v>
      </c>
      <c r="M1135">
        <f t="shared" si="70"/>
        <v>5.4037971934950142E-2</v>
      </c>
      <c r="N1135">
        <f t="shared" si="71"/>
        <v>-0.51906559336296587</v>
      </c>
    </row>
    <row r="1136" spans="1:14" x14ac:dyDescent="0.35">
      <c r="A1136">
        <v>1134</v>
      </c>
      <c r="B1136" t="s">
        <v>8</v>
      </c>
      <c r="C1136" t="s">
        <v>50</v>
      </c>
      <c r="D1136">
        <v>0.25</v>
      </c>
      <c r="E1136">
        <v>0.75</v>
      </c>
      <c r="F1136">
        <v>313.14999999999998</v>
      </c>
      <c r="G1136">
        <v>271.2</v>
      </c>
      <c r="H1136">
        <f t="shared" si="68"/>
        <v>-4.6100000000000003</v>
      </c>
      <c r="I1136">
        <v>9.9518183078484198E-3</v>
      </c>
      <c r="J1136" t="str">
        <f t="shared" si="69"/>
        <v>CC[NH2+]CC.[Cl-]COC1=CC=CC=C1O</v>
      </c>
      <c r="K1136">
        <v>62</v>
      </c>
      <c r="M1136">
        <f t="shared" si="70"/>
        <v>5.4037971934950142E-2</v>
      </c>
      <c r="N1136">
        <f t="shared" si="71"/>
        <v>-0.4696806845331889</v>
      </c>
    </row>
    <row r="1137" spans="1:14" x14ac:dyDescent="0.35">
      <c r="A1137">
        <v>1135</v>
      </c>
      <c r="B1137" t="s">
        <v>8</v>
      </c>
      <c r="C1137" t="s">
        <v>50</v>
      </c>
      <c r="D1137">
        <v>0.25</v>
      </c>
      <c r="E1137">
        <v>0.75</v>
      </c>
      <c r="F1137">
        <v>313.14999999999998</v>
      </c>
      <c r="G1137">
        <v>357.5</v>
      </c>
      <c r="H1137">
        <f t="shared" si="68"/>
        <v>-4.3351430487750315</v>
      </c>
      <c r="I1137">
        <v>1.3100000000000001E-2</v>
      </c>
      <c r="J1137" t="str">
        <f t="shared" si="69"/>
        <v>CC[NH2+]CC.[Cl-]COC1=CC=CC=C1O</v>
      </c>
      <c r="K1137">
        <v>62</v>
      </c>
      <c r="M1137">
        <f t="shared" si="70"/>
        <v>5.4037971934950142E-2</v>
      </c>
      <c r="N1137">
        <f t="shared" si="71"/>
        <v>-0.42141434668483391</v>
      </c>
    </row>
    <row r="1138" spans="1:14" x14ac:dyDescent="0.35">
      <c r="A1138">
        <v>1136</v>
      </c>
      <c r="B1138" t="s">
        <v>8</v>
      </c>
      <c r="C1138" t="s">
        <v>50</v>
      </c>
      <c r="D1138">
        <v>0.25</v>
      </c>
      <c r="E1138">
        <v>0.75</v>
      </c>
      <c r="F1138">
        <v>313.14999999999998</v>
      </c>
      <c r="G1138">
        <v>436.4</v>
      </c>
      <c r="H1138">
        <f t="shared" si="68"/>
        <v>-4.1399999999999997</v>
      </c>
      <c r="I1138">
        <v>1.5922851504511698E-2</v>
      </c>
      <c r="J1138" t="str">
        <f t="shared" si="69"/>
        <v>CC[NH2+]CC.[Cl-]COC1=CC=CC=C1O</v>
      </c>
      <c r="K1138">
        <v>62</v>
      </c>
      <c r="M1138">
        <f t="shared" si="70"/>
        <v>5.4037971934950142E-2</v>
      </c>
      <c r="N1138">
        <f t="shared" si="71"/>
        <v>-0.37728672146773989</v>
      </c>
    </row>
    <row r="1139" spans="1:14" x14ac:dyDescent="0.35">
      <c r="A1139">
        <v>1137</v>
      </c>
      <c r="B1139" t="s">
        <v>8</v>
      </c>
      <c r="C1139" t="s">
        <v>50</v>
      </c>
      <c r="D1139">
        <v>0.25</v>
      </c>
      <c r="E1139">
        <v>0.75</v>
      </c>
      <c r="F1139">
        <v>313.14999999999998</v>
      </c>
      <c r="G1139">
        <v>524.6</v>
      </c>
      <c r="H1139">
        <f t="shared" si="68"/>
        <v>-3.97</v>
      </c>
      <c r="I1139">
        <v>1.8873433135151486E-2</v>
      </c>
      <c r="J1139" t="str">
        <f t="shared" si="69"/>
        <v>CC[NH2+]CC.[Cl-]COC1=CC=CC=C1O</v>
      </c>
      <c r="K1139">
        <v>62</v>
      </c>
      <c r="M1139">
        <f t="shared" si="70"/>
        <v>5.4037971934950142E-2</v>
      </c>
      <c r="N1139">
        <f t="shared" si="71"/>
        <v>-0.32795774118703408</v>
      </c>
    </row>
    <row r="1140" spans="1:14" x14ac:dyDescent="0.35">
      <c r="A1140">
        <v>1138</v>
      </c>
      <c r="B1140" t="s">
        <v>8</v>
      </c>
      <c r="C1140" t="s">
        <v>50</v>
      </c>
      <c r="D1140">
        <v>0.25</v>
      </c>
      <c r="E1140">
        <v>0.75</v>
      </c>
      <c r="F1140">
        <v>323.14999999999998</v>
      </c>
      <c r="G1140">
        <v>56.6</v>
      </c>
      <c r="H1140">
        <f t="shared" si="68"/>
        <v>-6.27</v>
      </c>
      <c r="I1140">
        <v>1.8922285832099397E-3</v>
      </c>
      <c r="J1140" t="str">
        <f t="shared" si="69"/>
        <v>CC[NH2+]CC.[Cl-]COC1=CC=CC=C1O</v>
      </c>
      <c r="K1140">
        <v>62</v>
      </c>
      <c r="M1140">
        <f t="shared" si="70"/>
        <v>0.83775464848239545</v>
      </c>
      <c r="N1140">
        <f t="shared" si="71"/>
        <v>-0.589703350839759</v>
      </c>
    </row>
    <row r="1141" spans="1:14" x14ac:dyDescent="0.35">
      <c r="A1141">
        <v>1139</v>
      </c>
      <c r="B1141" t="s">
        <v>8</v>
      </c>
      <c r="C1141" t="s">
        <v>50</v>
      </c>
      <c r="D1141">
        <v>0.25</v>
      </c>
      <c r="E1141">
        <v>0.75</v>
      </c>
      <c r="F1141">
        <v>323.14999999999998</v>
      </c>
      <c r="G1141">
        <v>143.4</v>
      </c>
      <c r="H1141">
        <f t="shared" si="68"/>
        <v>-5.36</v>
      </c>
      <c r="I1141">
        <v>4.700906107583276E-3</v>
      </c>
      <c r="J1141" t="str">
        <f t="shared" si="69"/>
        <v>CC[NH2+]CC.[Cl-]COC1=CC=CC=C1O</v>
      </c>
      <c r="K1141">
        <v>62</v>
      </c>
      <c r="M1141">
        <f t="shared" si="70"/>
        <v>0.83775464848239545</v>
      </c>
      <c r="N1141">
        <f t="shared" si="71"/>
        <v>-0.54115737024604837</v>
      </c>
    </row>
    <row r="1142" spans="1:14" x14ac:dyDescent="0.35">
      <c r="A1142">
        <v>1140</v>
      </c>
      <c r="B1142" t="s">
        <v>8</v>
      </c>
      <c r="C1142" t="s">
        <v>50</v>
      </c>
      <c r="D1142">
        <v>0.25</v>
      </c>
      <c r="E1142">
        <v>0.75</v>
      </c>
      <c r="F1142">
        <v>323.14999999999998</v>
      </c>
      <c r="G1142">
        <v>246</v>
      </c>
      <c r="H1142">
        <f t="shared" si="68"/>
        <v>-4.83</v>
      </c>
      <c r="I1142">
        <v>7.9865212659555023E-3</v>
      </c>
      <c r="J1142" t="str">
        <f t="shared" si="69"/>
        <v>CC[NH2+]CC.[Cl-]COC1=CC=CC=C1O</v>
      </c>
      <c r="K1142">
        <v>62</v>
      </c>
      <c r="M1142">
        <f t="shared" si="70"/>
        <v>0.83775464848239545</v>
      </c>
      <c r="N1142">
        <f t="shared" si="71"/>
        <v>-0.48377467889910486</v>
      </c>
    </row>
    <row r="1143" spans="1:14" x14ac:dyDescent="0.35">
      <c r="A1143">
        <v>1141</v>
      </c>
      <c r="B1143" t="s">
        <v>8</v>
      </c>
      <c r="C1143" t="s">
        <v>50</v>
      </c>
      <c r="D1143">
        <v>0.25</v>
      </c>
      <c r="E1143">
        <v>0.75</v>
      </c>
      <c r="F1143">
        <v>323.14999999999998</v>
      </c>
      <c r="G1143">
        <v>331.9</v>
      </c>
      <c r="H1143">
        <f t="shared" si="68"/>
        <v>-4.55</v>
      </c>
      <c r="I1143">
        <v>1.0567204383852655E-2</v>
      </c>
      <c r="J1143" t="str">
        <f t="shared" si="69"/>
        <v>CC[NH2+]CC.[Cl-]COC1=CC=CC=C1O</v>
      </c>
      <c r="K1143">
        <v>62</v>
      </c>
      <c r="M1143">
        <f t="shared" si="70"/>
        <v>0.83775464848239545</v>
      </c>
      <c r="N1143">
        <f t="shared" si="71"/>
        <v>-0.43573205524703423</v>
      </c>
    </row>
    <row r="1144" spans="1:14" x14ac:dyDescent="0.35">
      <c r="A1144">
        <v>1142</v>
      </c>
      <c r="B1144" t="s">
        <v>8</v>
      </c>
      <c r="C1144" t="s">
        <v>50</v>
      </c>
      <c r="D1144">
        <v>0.25</v>
      </c>
      <c r="E1144">
        <v>0.75</v>
      </c>
      <c r="F1144">
        <v>323.14999999999998</v>
      </c>
      <c r="G1144">
        <v>428.9</v>
      </c>
      <c r="H1144">
        <f t="shared" si="68"/>
        <v>-4.29</v>
      </c>
      <c r="I1144">
        <v>1.3704925297364945E-2</v>
      </c>
      <c r="J1144" t="str">
        <f t="shared" si="69"/>
        <v>CC[NH2+]CC.[Cl-]COC1=CC=CC=C1O</v>
      </c>
      <c r="K1144">
        <v>62</v>
      </c>
      <c r="M1144">
        <f t="shared" si="70"/>
        <v>0.83775464848239545</v>
      </c>
      <c r="N1144">
        <f t="shared" si="71"/>
        <v>-0.38148136264807203</v>
      </c>
    </row>
    <row r="1145" spans="1:14" x14ac:dyDescent="0.35">
      <c r="A1145">
        <v>1143</v>
      </c>
      <c r="B1145" t="s">
        <v>8</v>
      </c>
      <c r="C1145" t="s">
        <v>50</v>
      </c>
      <c r="D1145">
        <v>0.25</v>
      </c>
      <c r="E1145">
        <v>0.75</v>
      </c>
      <c r="F1145">
        <v>323.14999999999998</v>
      </c>
      <c r="G1145">
        <v>525.4</v>
      </c>
      <c r="H1145">
        <f t="shared" si="68"/>
        <v>-4.086376392572924</v>
      </c>
      <c r="I1145">
        <v>1.6799999999999999E-2</v>
      </c>
      <c r="J1145" t="str">
        <f t="shared" si="69"/>
        <v>CC[NH2+]CC.[Cl-]COC1=CC=CC=C1O</v>
      </c>
      <c r="K1145">
        <v>62</v>
      </c>
      <c r="M1145">
        <f t="shared" si="70"/>
        <v>0.83775464848239545</v>
      </c>
      <c r="N1145">
        <f t="shared" si="71"/>
        <v>-0.3275103127944653</v>
      </c>
    </row>
    <row r="1146" spans="1:14" x14ac:dyDescent="0.35">
      <c r="A1146">
        <v>1144</v>
      </c>
      <c r="B1146" t="s">
        <v>2</v>
      </c>
      <c r="C1146" t="s">
        <v>50</v>
      </c>
      <c r="D1146">
        <v>0.25</v>
      </c>
      <c r="E1146">
        <v>0.75</v>
      </c>
      <c r="F1146">
        <v>293.14999999999998</v>
      </c>
      <c r="G1146">
        <v>53.7</v>
      </c>
      <c r="H1146">
        <f t="shared" si="68"/>
        <v>-5.95</v>
      </c>
      <c r="I1146">
        <v>2.6058405184084983E-3</v>
      </c>
      <c r="J1146" t="str">
        <f t="shared" si="69"/>
        <v>CC(=O)OCC[N+](C)(C)C.[Cl-]COC1=CC=CC=C1O</v>
      </c>
      <c r="K1146">
        <v>13</v>
      </c>
      <c r="M1146">
        <f t="shared" si="70"/>
        <v>-1.5133953811599403</v>
      </c>
      <c r="N1146">
        <f t="shared" si="71"/>
        <v>-0.59132527876282059</v>
      </c>
    </row>
    <row r="1147" spans="1:14" x14ac:dyDescent="0.35">
      <c r="A1147">
        <v>1145</v>
      </c>
      <c r="B1147" t="s">
        <v>2</v>
      </c>
      <c r="C1147" t="s">
        <v>50</v>
      </c>
      <c r="D1147">
        <v>0.25</v>
      </c>
      <c r="E1147">
        <v>0.75</v>
      </c>
      <c r="F1147">
        <v>293.14999999999998</v>
      </c>
      <c r="G1147">
        <v>144.30000000000001</v>
      </c>
      <c r="H1147">
        <f t="shared" si="68"/>
        <v>-5.0199999999999996</v>
      </c>
      <c r="I1147">
        <v>6.6045267093148112E-3</v>
      </c>
      <c r="J1147" t="str">
        <f t="shared" si="69"/>
        <v>CC(=O)OCC[N+](C)(C)C.[Cl-]COC1=CC=CC=C1O</v>
      </c>
      <c r="K1147">
        <v>13</v>
      </c>
      <c r="M1147">
        <f t="shared" si="70"/>
        <v>-1.5133953811599403</v>
      </c>
      <c r="N1147">
        <f t="shared" si="71"/>
        <v>-0.54065401330440854</v>
      </c>
    </row>
    <row r="1148" spans="1:14" x14ac:dyDescent="0.35">
      <c r="A1148">
        <v>1146</v>
      </c>
      <c r="B1148" t="s">
        <v>2</v>
      </c>
      <c r="C1148" t="s">
        <v>50</v>
      </c>
      <c r="D1148">
        <v>0.25</v>
      </c>
      <c r="E1148">
        <v>0.75</v>
      </c>
      <c r="F1148">
        <v>293.14999999999998</v>
      </c>
      <c r="G1148">
        <v>234.1</v>
      </c>
      <c r="H1148">
        <f t="shared" si="68"/>
        <v>-4.5</v>
      </c>
      <c r="I1148">
        <v>1.1108996538242306E-2</v>
      </c>
      <c r="J1148" t="str">
        <f t="shared" si="69"/>
        <v>CC(=O)OCC[N+](C)(C)C.[Cl-]COC1=CC=CC=C1O</v>
      </c>
      <c r="K1148">
        <v>13</v>
      </c>
      <c r="M1148">
        <f t="shared" si="70"/>
        <v>-1.5133953811599403</v>
      </c>
      <c r="N1148">
        <f t="shared" si="71"/>
        <v>-0.49043017623856516</v>
      </c>
    </row>
    <row r="1149" spans="1:14" x14ac:dyDescent="0.35">
      <c r="A1149">
        <v>1147</v>
      </c>
      <c r="B1149" t="s">
        <v>2</v>
      </c>
      <c r="C1149" t="s">
        <v>50</v>
      </c>
      <c r="D1149">
        <v>0.25</v>
      </c>
      <c r="E1149">
        <v>0.75</v>
      </c>
      <c r="F1149">
        <v>293.14999999999998</v>
      </c>
      <c r="G1149">
        <v>331.7</v>
      </c>
      <c r="H1149">
        <f t="shared" si="68"/>
        <v>-4.1351665567423561</v>
      </c>
      <c r="I1149">
        <v>1.6E-2</v>
      </c>
      <c r="J1149" t="str">
        <f t="shared" si="69"/>
        <v>CC(=O)OCC[N+](C)(C)C.[Cl-]COC1=CC=CC=C1O</v>
      </c>
      <c r="K1149">
        <v>13</v>
      </c>
      <c r="M1149">
        <f t="shared" si="70"/>
        <v>-1.5133953811599403</v>
      </c>
      <c r="N1149">
        <f t="shared" si="71"/>
        <v>-0.43584391234517639</v>
      </c>
    </row>
    <row r="1150" spans="1:14" x14ac:dyDescent="0.35">
      <c r="A1150">
        <v>1148</v>
      </c>
      <c r="B1150" t="s">
        <v>2</v>
      </c>
      <c r="C1150" t="s">
        <v>50</v>
      </c>
      <c r="D1150">
        <v>0.25</v>
      </c>
      <c r="E1150">
        <v>0.75</v>
      </c>
      <c r="F1150">
        <v>293.14999999999998</v>
      </c>
      <c r="G1150">
        <v>428.8</v>
      </c>
      <c r="H1150">
        <f t="shared" si="68"/>
        <v>-3.88</v>
      </c>
      <c r="I1150">
        <v>2.0650825181712566E-2</v>
      </c>
      <c r="J1150" t="str">
        <f t="shared" si="69"/>
        <v>CC(=O)OCC[N+](C)(C)C.[Cl-]COC1=CC=CC=C1O</v>
      </c>
      <c r="K1150">
        <v>13</v>
      </c>
      <c r="M1150">
        <f t="shared" si="70"/>
        <v>-1.5133953811599403</v>
      </c>
      <c r="N1150">
        <f t="shared" si="71"/>
        <v>-0.38153729119714314</v>
      </c>
    </row>
    <row r="1151" spans="1:14" x14ac:dyDescent="0.35">
      <c r="A1151">
        <v>1149</v>
      </c>
      <c r="B1151" t="s">
        <v>2</v>
      </c>
      <c r="C1151" t="s">
        <v>50</v>
      </c>
      <c r="D1151">
        <v>0.25</v>
      </c>
      <c r="E1151">
        <v>0.75</v>
      </c>
      <c r="F1151">
        <v>293.14999999999998</v>
      </c>
      <c r="G1151">
        <v>528.6</v>
      </c>
      <c r="H1151">
        <f t="shared" si="68"/>
        <v>-3.6651629274966204</v>
      </c>
      <c r="I1151">
        <v>2.5600000000000001E-2</v>
      </c>
      <c r="J1151" t="str">
        <f t="shared" si="69"/>
        <v>CC(=O)OCC[N+](C)(C)C.[Cl-]COC1=CC=CC=C1O</v>
      </c>
      <c r="K1151">
        <v>13</v>
      </c>
      <c r="M1151">
        <f t="shared" si="70"/>
        <v>-1.5133953811599403</v>
      </c>
      <c r="N1151">
        <f t="shared" si="71"/>
        <v>-0.32572059922419028</v>
      </c>
    </row>
    <row r="1152" spans="1:14" x14ac:dyDescent="0.35">
      <c r="A1152">
        <v>1150</v>
      </c>
      <c r="B1152" t="s">
        <v>2</v>
      </c>
      <c r="C1152" t="s">
        <v>50</v>
      </c>
      <c r="D1152">
        <v>0.25</v>
      </c>
      <c r="E1152">
        <v>0.75</v>
      </c>
      <c r="F1152">
        <v>303.14999999999998</v>
      </c>
      <c r="G1152">
        <v>53.8</v>
      </c>
      <c r="H1152">
        <f t="shared" si="68"/>
        <v>-6.07</v>
      </c>
      <c r="I1152">
        <v>2.3111732106021292E-3</v>
      </c>
      <c r="J1152" t="str">
        <f t="shared" si="69"/>
        <v>CC(=O)OCC[N+](C)(C)C.[Cl-]COC1=CC=CC=C1O</v>
      </c>
      <c r="K1152">
        <v>13</v>
      </c>
      <c r="M1152">
        <f t="shared" si="70"/>
        <v>-0.72967870461249518</v>
      </c>
      <c r="N1152">
        <f t="shared" si="71"/>
        <v>-0.5912693502137496</v>
      </c>
    </row>
    <row r="1153" spans="1:14" x14ac:dyDescent="0.35">
      <c r="A1153">
        <v>1151</v>
      </c>
      <c r="B1153" t="s">
        <v>2</v>
      </c>
      <c r="C1153" t="s">
        <v>50</v>
      </c>
      <c r="D1153">
        <v>0.25</v>
      </c>
      <c r="E1153">
        <v>0.75</v>
      </c>
      <c r="F1153">
        <v>303.14999999999998</v>
      </c>
      <c r="G1153">
        <v>139.6</v>
      </c>
      <c r="H1153">
        <f t="shared" si="68"/>
        <v>-5.17</v>
      </c>
      <c r="I1153">
        <v>5.684568819219595E-3</v>
      </c>
      <c r="J1153" t="str">
        <f t="shared" si="69"/>
        <v>CC(=O)OCC[N+](C)(C)C.[Cl-]COC1=CC=CC=C1O</v>
      </c>
      <c r="K1153">
        <v>13</v>
      </c>
      <c r="M1153">
        <f t="shared" si="70"/>
        <v>-0.72967870461249518</v>
      </c>
      <c r="N1153">
        <f t="shared" si="71"/>
        <v>-0.54328265511075002</v>
      </c>
    </row>
    <row r="1154" spans="1:14" x14ac:dyDescent="0.35">
      <c r="A1154">
        <v>1152</v>
      </c>
      <c r="B1154" t="s">
        <v>2</v>
      </c>
      <c r="C1154" t="s">
        <v>50</v>
      </c>
      <c r="D1154">
        <v>0.25</v>
      </c>
      <c r="E1154">
        <v>0.75</v>
      </c>
      <c r="F1154">
        <v>303.14999999999998</v>
      </c>
      <c r="G1154">
        <v>227.1</v>
      </c>
      <c r="H1154">
        <f t="shared" si="68"/>
        <v>-4.68</v>
      </c>
      <c r="I1154">
        <v>9.2790138870647437E-3</v>
      </c>
      <c r="J1154" t="str">
        <f t="shared" si="69"/>
        <v>CC(=O)OCC[N+](C)(C)C.[Cl-]COC1=CC=CC=C1O</v>
      </c>
      <c r="K1154">
        <v>13</v>
      </c>
      <c r="M1154">
        <f t="shared" si="70"/>
        <v>-0.72967870461249518</v>
      </c>
      <c r="N1154">
        <f t="shared" si="71"/>
        <v>-0.49434517467354183</v>
      </c>
    </row>
    <row r="1155" spans="1:14" x14ac:dyDescent="0.35">
      <c r="A1155">
        <v>1153</v>
      </c>
      <c r="B1155" t="s">
        <v>2</v>
      </c>
      <c r="C1155" t="s">
        <v>50</v>
      </c>
      <c r="D1155">
        <v>0.25</v>
      </c>
      <c r="E1155">
        <v>0.75</v>
      </c>
      <c r="F1155">
        <v>303.14999999999998</v>
      </c>
      <c r="G1155">
        <v>329.5</v>
      </c>
      <c r="H1155">
        <f t="shared" ref="H1155:H1218" si="72">LN(I1155)</f>
        <v>-4.3099999999999996</v>
      </c>
      <c r="I1155">
        <v>1.3433549594245314E-2</v>
      </c>
      <c r="J1155" t="str">
        <f t="shared" ref="J1155:J1218" si="73">_xlfn.CONCAT(B1155,C1155)</f>
        <v>CC(=O)OCC[N+](C)(C)C.[Cl-]COC1=CC=CC=C1O</v>
      </c>
      <c r="K1155">
        <v>13</v>
      </c>
      <c r="M1155">
        <f t="shared" ref="M1155:M1218" si="74">(F1155-$L$3)/$L$2</f>
        <v>-0.72967870461249518</v>
      </c>
      <c r="N1155">
        <f t="shared" ref="N1155:N1218" si="75">(G1155-$L$6)/$L$5</f>
        <v>-0.43707434042474053</v>
      </c>
    </row>
    <row r="1156" spans="1:14" x14ac:dyDescent="0.35">
      <c r="A1156">
        <v>1154</v>
      </c>
      <c r="B1156" t="s">
        <v>2</v>
      </c>
      <c r="C1156" t="s">
        <v>50</v>
      </c>
      <c r="D1156">
        <v>0.25</v>
      </c>
      <c r="E1156">
        <v>0.75</v>
      </c>
      <c r="F1156">
        <v>303.14999999999998</v>
      </c>
      <c r="G1156">
        <v>431.7</v>
      </c>
      <c r="H1156">
        <f t="shared" si="72"/>
        <v>-4.0455543980526683</v>
      </c>
      <c r="I1156">
        <v>1.7500000000000002E-2</v>
      </c>
      <c r="J1156" t="str">
        <f t="shared" si="73"/>
        <v>CC(=O)OCC[N+](C)(C)C.[Cl-]COC1=CC=CC=C1O</v>
      </c>
      <c r="K1156">
        <v>13</v>
      </c>
      <c r="M1156">
        <f t="shared" si="74"/>
        <v>-0.72967870461249518</v>
      </c>
      <c r="N1156">
        <f t="shared" si="75"/>
        <v>-0.37991536327408137</v>
      </c>
    </row>
    <row r="1157" spans="1:14" x14ac:dyDescent="0.35">
      <c r="A1157">
        <v>1155</v>
      </c>
      <c r="B1157" t="s">
        <v>2</v>
      </c>
      <c r="C1157" t="s">
        <v>50</v>
      </c>
      <c r="D1157">
        <v>0.25</v>
      </c>
      <c r="E1157">
        <v>0.75</v>
      </c>
      <c r="F1157">
        <v>303.14999999999998</v>
      </c>
      <c r="G1157">
        <v>531.20000000000005</v>
      </c>
      <c r="H1157">
        <f t="shared" si="72"/>
        <v>-3.8443643569543311</v>
      </c>
      <c r="I1157">
        <v>2.1399999999999999E-2</v>
      </c>
      <c r="J1157" t="str">
        <f t="shared" si="73"/>
        <v>CC(=O)OCC[N+](C)(C)C.[Cl-]COC1=CC=CC=C1O</v>
      </c>
      <c r="K1157">
        <v>13</v>
      </c>
      <c r="M1157">
        <f t="shared" si="74"/>
        <v>-0.72967870461249518</v>
      </c>
      <c r="N1157">
        <f t="shared" si="75"/>
        <v>-0.32426645694834177</v>
      </c>
    </row>
    <row r="1158" spans="1:14" x14ac:dyDescent="0.35">
      <c r="A1158">
        <v>1156</v>
      </c>
      <c r="B1158" t="s">
        <v>2</v>
      </c>
      <c r="C1158" t="s">
        <v>50</v>
      </c>
      <c r="D1158">
        <v>0.25</v>
      </c>
      <c r="E1158">
        <v>0.75</v>
      </c>
      <c r="F1158">
        <v>313.14999999999998</v>
      </c>
      <c r="G1158">
        <v>54.1</v>
      </c>
      <c r="H1158">
        <f t="shared" si="72"/>
        <v>-6.27</v>
      </c>
      <c r="I1158">
        <v>1.8922285832099397E-3</v>
      </c>
      <c r="J1158" t="str">
        <f t="shared" si="73"/>
        <v>CC(=O)OCC[N+](C)(C)C.[Cl-]COC1=CC=CC=C1O</v>
      </c>
      <c r="K1158">
        <v>13</v>
      </c>
      <c r="M1158">
        <f t="shared" si="74"/>
        <v>5.4037971934950142E-2</v>
      </c>
      <c r="N1158">
        <f t="shared" si="75"/>
        <v>-0.5911015645665364</v>
      </c>
    </row>
    <row r="1159" spans="1:14" x14ac:dyDescent="0.35">
      <c r="A1159">
        <v>1157</v>
      </c>
      <c r="B1159" t="s">
        <v>2</v>
      </c>
      <c r="C1159" t="s">
        <v>50</v>
      </c>
      <c r="D1159">
        <v>0.25</v>
      </c>
      <c r="E1159">
        <v>0.75</v>
      </c>
      <c r="F1159">
        <v>313.14999999999998</v>
      </c>
      <c r="G1159">
        <v>147.80000000000001</v>
      </c>
      <c r="H1159">
        <f t="shared" si="72"/>
        <v>-5.28</v>
      </c>
      <c r="I1159">
        <v>5.0924307926991904E-3</v>
      </c>
      <c r="J1159" t="str">
        <f t="shared" si="73"/>
        <v>CC(=O)OCC[N+](C)(C)C.[Cl-]COC1=CC=CC=C1O</v>
      </c>
      <c r="K1159">
        <v>13</v>
      </c>
      <c r="M1159">
        <f t="shared" si="74"/>
        <v>5.4037971934950142E-2</v>
      </c>
      <c r="N1159">
        <f t="shared" si="75"/>
        <v>-0.53869651408692021</v>
      </c>
    </row>
    <row r="1160" spans="1:14" x14ac:dyDescent="0.35">
      <c r="A1160">
        <v>1158</v>
      </c>
      <c r="B1160" t="s">
        <v>2</v>
      </c>
      <c r="C1160" t="s">
        <v>50</v>
      </c>
      <c r="D1160">
        <v>0.25</v>
      </c>
      <c r="E1160">
        <v>0.75</v>
      </c>
      <c r="F1160">
        <v>313.14999999999998</v>
      </c>
      <c r="G1160">
        <v>235</v>
      </c>
      <c r="H1160">
        <f t="shared" si="72"/>
        <v>-4.82</v>
      </c>
      <c r="I1160">
        <v>8.0667871390996144E-3</v>
      </c>
      <c r="J1160" t="str">
        <f t="shared" si="73"/>
        <v>CC(=O)OCC[N+](C)(C)C.[Cl-]COC1=CC=CC=C1O</v>
      </c>
      <c r="K1160">
        <v>13</v>
      </c>
      <c r="M1160">
        <f t="shared" si="74"/>
        <v>5.4037971934950142E-2</v>
      </c>
      <c r="N1160">
        <f t="shared" si="75"/>
        <v>-0.48992681929692533</v>
      </c>
    </row>
    <row r="1161" spans="1:14" x14ac:dyDescent="0.35">
      <c r="A1161">
        <v>1159</v>
      </c>
      <c r="B1161" t="s">
        <v>2</v>
      </c>
      <c r="C1161" t="s">
        <v>50</v>
      </c>
      <c r="D1161">
        <v>0.25</v>
      </c>
      <c r="E1161">
        <v>0.75</v>
      </c>
      <c r="F1161">
        <v>313.14999999999998</v>
      </c>
      <c r="G1161">
        <v>338</v>
      </c>
      <c r="H1161">
        <f t="shared" si="72"/>
        <v>-4.45</v>
      </c>
      <c r="I1161">
        <v>1.1678566970395442E-2</v>
      </c>
      <c r="J1161" t="str">
        <f t="shared" si="73"/>
        <v>CC(=O)OCC[N+](C)(C)C.[Cl-]COC1=CC=CC=C1O</v>
      </c>
      <c r="K1161">
        <v>13</v>
      </c>
      <c r="M1161">
        <f t="shared" si="74"/>
        <v>5.4037971934950142E-2</v>
      </c>
      <c r="N1161">
        <f t="shared" si="75"/>
        <v>-0.43232041375369745</v>
      </c>
    </row>
    <row r="1162" spans="1:14" x14ac:dyDescent="0.35">
      <c r="A1162">
        <v>1160</v>
      </c>
      <c r="B1162" t="s">
        <v>2</v>
      </c>
      <c r="C1162" t="s">
        <v>50</v>
      </c>
      <c r="D1162">
        <v>0.25</v>
      </c>
      <c r="E1162">
        <v>0.75</v>
      </c>
      <c r="F1162">
        <v>313.14999999999998</v>
      </c>
      <c r="G1162">
        <v>434.5</v>
      </c>
      <c r="H1162">
        <f t="shared" si="72"/>
        <v>-4.2</v>
      </c>
      <c r="I1162">
        <v>1.4995576820477703E-2</v>
      </c>
      <c r="J1162" t="str">
        <f t="shared" si="73"/>
        <v>CC(=O)OCC[N+](C)(C)C.[Cl-]COC1=CC=CC=C1O</v>
      </c>
      <c r="K1162">
        <v>13</v>
      </c>
      <c r="M1162">
        <f t="shared" si="74"/>
        <v>5.4037971934950142E-2</v>
      </c>
      <c r="N1162">
        <f t="shared" si="75"/>
        <v>-0.37834936390009072</v>
      </c>
    </row>
    <row r="1163" spans="1:14" x14ac:dyDescent="0.35">
      <c r="A1163">
        <v>1161</v>
      </c>
      <c r="B1163" t="s">
        <v>2</v>
      </c>
      <c r="C1163" t="s">
        <v>50</v>
      </c>
      <c r="D1163">
        <v>0.25</v>
      </c>
      <c r="E1163">
        <v>0.75</v>
      </c>
      <c r="F1163">
        <v>313.14999999999998</v>
      </c>
      <c r="G1163">
        <v>535.29999999999995</v>
      </c>
      <c r="H1163">
        <f t="shared" si="72"/>
        <v>-3.99</v>
      </c>
      <c r="I1163">
        <v>1.8499714119819242E-2</v>
      </c>
      <c r="J1163" t="str">
        <f t="shared" si="73"/>
        <v>CC(=O)OCC[N+](C)(C)C.[Cl-]COC1=CC=CC=C1O</v>
      </c>
      <c r="K1163">
        <v>13</v>
      </c>
      <c r="M1163">
        <f t="shared" si="74"/>
        <v>5.4037971934950142E-2</v>
      </c>
      <c r="N1163">
        <f t="shared" si="75"/>
        <v>-0.32197338643642692</v>
      </c>
    </row>
    <row r="1164" spans="1:14" x14ac:dyDescent="0.35">
      <c r="A1164">
        <v>1162</v>
      </c>
      <c r="B1164" t="s">
        <v>2</v>
      </c>
      <c r="C1164" t="s">
        <v>50</v>
      </c>
      <c r="D1164">
        <v>0.25</v>
      </c>
      <c r="E1164">
        <v>0.75</v>
      </c>
      <c r="F1164">
        <v>323.14999999999998</v>
      </c>
      <c r="G1164">
        <v>55.9</v>
      </c>
      <c r="H1164">
        <f t="shared" si="72"/>
        <v>-6.32</v>
      </c>
      <c r="I1164">
        <v>1.7999435062305911E-3</v>
      </c>
      <c r="J1164" t="str">
        <f t="shared" si="73"/>
        <v>CC(=O)OCC[N+](C)(C)C.[Cl-]COC1=CC=CC=C1O</v>
      </c>
      <c r="K1164">
        <v>13</v>
      </c>
      <c r="M1164">
        <f t="shared" si="74"/>
        <v>0.83775464848239545</v>
      </c>
      <c r="N1164">
        <f t="shared" si="75"/>
        <v>-0.59009485068325651</v>
      </c>
    </row>
    <row r="1165" spans="1:14" x14ac:dyDescent="0.35">
      <c r="A1165">
        <v>1163</v>
      </c>
      <c r="B1165" t="s">
        <v>2</v>
      </c>
      <c r="C1165" t="s">
        <v>50</v>
      </c>
      <c r="D1165">
        <v>0.25</v>
      </c>
      <c r="E1165">
        <v>0.75</v>
      </c>
      <c r="F1165">
        <v>323.14999999999998</v>
      </c>
      <c r="G1165">
        <v>143.5</v>
      </c>
      <c r="H1165">
        <f t="shared" si="72"/>
        <v>-5.38</v>
      </c>
      <c r="I1165">
        <v>4.6078219299927519E-3</v>
      </c>
      <c r="J1165" t="str">
        <f t="shared" si="73"/>
        <v>CC(=O)OCC[N+](C)(C)C.[Cl-]COC1=CC=CC=C1O</v>
      </c>
      <c r="K1165">
        <v>13</v>
      </c>
      <c r="M1165">
        <f t="shared" si="74"/>
        <v>0.83775464848239545</v>
      </c>
      <c r="N1165">
        <f t="shared" si="75"/>
        <v>-0.54110144169697727</v>
      </c>
    </row>
    <row r="1166" spans="1:14" x14ac:dyDescent="0.35">
      <c r="A1166">
        <v>1164</v>
      </c>
      <c r="B1166" t="s">
        <v>2</v>
      </c>
      <c r="C1166" t="s">
        <v>50</v>
      </c>
      <c r="D1166">
        <v>0.25</v>
      </c>
      <c r="E1166">
        <v>0.75</v>
      </c>
      <c r="F1166">
        <v>323.14999999999998</v>
      </c>
      <c r="G1166">
        <v>239.4</v>
      </c>
      <c r="H1166">
        <f t="shared" si="72"/>
        <v>-4.8899999999999997</v>
      </c>
      <c r="I1166">
        <v>7.5214224749932702E-3</v>
      </c>
      <c r="J1166" t="str">
        <f t="shared" si="73"/>
        <v>CC(=O)OCC[N+](C)(C)C.[Cl-]COC1=CC=CC=C1O</v>
      </c>
      <c r="K1166">
        <v>13</v>
      </c>
      <c r="M1166">
        <f t="shared" si="74"/>
        <v>0.83775464848239545</v>
      </c>
      <c r="N1166">
        <f t="shared" si="75"/>
        <v>-0.48746596313779716</v>
      </c>
    </row>
    <row r="1167" spans="1:14" x14ac:dyDescent="0.35">
      <c r="A1167">
        <v>1165</v>
      </c>
      <c r="B1167" t="s">
        <v>2</v>
      </c>
      <c r="C1167" t="s">
        <v>50</v>
      </c>
      <c r="D1167">
        <v>0.25</v>
      </c>
      <c r="E1167">
        <v>0.75</v>
      </c>
      <c r="F1167">
        <v>323.14999999999998</v>
      </c>
      <c r="G1167">
        <v>337.9</v>
      </c>
      <c r="H1167">
        <f t="shared" si="72"/>
        <v>-4.5599999999999996</v>
      </c>
      <c r="I1167">
        <v>1.0462058943426803E-2</v>
      </c>
      <c r="J1167" t="str">
        <f t="shared" si="73"/>
        <v>CC(=O)OCC[N+](C)(C)C.[Cl-]COC1=CC=CC=C1O</v>
      </c>
      <c r="K1167">
        <v>13</v>
      </c>
      <c r="M1167">
        <f t="shared" si="74"/>
        <v>0.83775464848239545</v>
      </c>
      <c r="N1167">
        <f t="shared" si="75"/>
        <v>-0.43237634230276856</v>
      </c>
    </row>
    <row r="1168" spans="1:14" x14ac:dyDescent="0.35">
      <c r="A1168">
        <v>1166</v>
      </c>
      <c r="B1168" t="s">
        <v>2</v>
      </c>
      <c r="C1168" t="s">
        <v>50</v>
      </c>
      <c r="D1168">
        <v>0.25</v>
      </c>
      <c r="E1168">
        <v>0.75</v>
      </c>
      <c r="F1168">
        <v>323.14999999999998</v>
      </c>
      <c r="G1168">
        <v>438</v>
      </c>
      <c r="H1168">
        <f t="shared" si="72"/>
        <v>-4.3050655935377531</v>
      </c>
      <c r="I1168">
        <v>1.35E-2</v>
      </c>
      <c r="J1168" t="str">
        <f t="shared" si="73"/>
        <v>CC(=O)OCC[N+](C)(C)C.[Cl-]COC1=CC=CC=C1O</v>
      </c>
      <c r="K1168">
        <v>13</v>
      </c>
      <c r="M1168">
        <f t="shared" si="74"/>
        <v>0.83775464848239545</v>
      </c>
      <c r="N1168">
        <f t="shared" si="75"/>
        <v>-0.37639186468260238</v>
      </c>
    </row>
    <row r="1169" spans="1:14" x14ac:dyDescent="0.35">
      <c r="A1169">
        <v>1167</v>
      </c>
      <c r="B1169" t="s">
        <v>2</v>
      </c>
      <c r="C1169" t="s">
        <v>50</v>
      </c>
      <c r="D1169">
        <v>0.25</v>
      </c>
      <c r="E1169">
        <v>0.75</v>
      </c>
      <c r="F1169">
        <v>323.14999999999998</v>
      </c>
      <c r="G1169">
        <v>533</v>
      </c>
      <c r="H1169">
        <f t="shared" si="72"/>
        <v>-4.1165901711694204</v>
      </c>
      <c r="I1169">
        <v>1.6299999999999999E-2</v>
      </c>
      <c r="J1169" t="str">
        <f t="shared" si="73"/>
        <v>CC(=O)OCC[N+](C)(C)C.[Cl-]COC1=CC=CC=C1O</v>
      </c>
      <c r="K1169">
        <v>13</v>
      </c>
      <c r="M1169">
        <f t="shared" si="74"/>
        <v>0.83775464848239545</v>
      </c>
      <c r="N1169">
        <f t="shared" si="75"/>
        <v>-0.32325974306506211</v>
      </c>
    </row>
    <row r="1170" spans="1:14" x14ac:dyDescent="0.35">
      <c r="A1170">
        <v>1168</v>
      </c>
      <c r="B1170" t="s">
        <v>2</v>
      </c>
      <c r="C1170" t="s">
        <v>74</v>
      </c>
      <c r="D1170">
        <v>0.25</v>
      </c>
      <c r="E1170">
        <v>0.75</v>
      </c>
      <c r="F1170">
        <v>303.14999999999998</v>
      </c>
      <c r="G1170">
        <v>65.7</v>
      </c>
      <c r="H1170">
        <f t="shared" si="72"/>
        <v>-5.2</v>
      </c>
      <c r="I1170">
        <v>5.5165644207607716E-3</v>
      </c>
      <c r="J1170" t="str">
        <f t="shared" si="73"/>
        <v>CC(=O)OCC[N+](C)(C)C.[Cl-]CC(=O)CCC(=O)O</v>
      </c>
      <c r="K1170">
        <v>12</v>
      </c>
      <c r="M1170">
        <f t="shared" si="74"/>
        <v>-0.72967870461249518</v>
      </c>
      <c r="N1170">
        <f t="shared" si="75"/>
        <v>-0.58461385287428924</v>
      </c>
    </row>
    <row r="1171" spans="1:14" x14ac:dyDescent="0.35">
      <c r="A1171">
        <v>1169</v>
      </c>
      <c r="B1171" t="s">
        <v>2</v>
      </c>
      <c r="C1171" t="s">
        <v>74</v>
      </c>
      <c r="D1171">
        <v>0.25</v>
      </c>
      <c r="E1171">
        <v>0.75</v>
      </c>
      <c r="F1171">
        <v>303.14999999999998</v>
      </c>
      <c r="G1171">
        <v>120.4</v>
      </c>
      <c r="H1171">
        <f t="shared" si="72"/>
        <v>-4.66</v>
      </c>
      <c r="I1171">
        <v>9.4664624017103231E-3</v>
      </c>
      <c r="J1171" t="str">
        <f t="shared" si="73"/>
        <v>CC(=O)OCC[N+](C)(C)C.[Cl-]CC(=O)CCC(=O)O</v>
      </c>
      <c r="K1171">
        <v>12</v>
      </c>
      <c r="M1171">
        <f t="shared" si="74"/>
        <v>-0.72967870461249518</v>
      </c>
      <c r="N1171">
        <f t="shared" si="75"/>
        <v>-0.55402093653240025</v>
      </c>
    </row>
    <row r="1172" spans="1:14" x14ac:dyDescent="0.35">
      <c r="A1172">
        <v>1170</v>
      </c>
      <c r="B1172" t="s">
        <v>2</v>
      </c>
      <c r="C1172" t="s">
        <v>74</v>
      </c>
      <c r="D1172">
        <v>0.25</v>
      </c>
      <c r="E1172">
        <v>0.75</v>
      </c>
      <c r="F1172">
        <v>303.14999999999998</v>
      </c>
      <c r="G1172">
        <v>200</v>
      </c>
      <c r="H1172">
        <f t="shared" si="72"/>
        <v>-4.21</v>
      </c>
      <c r="I1172">
        <v>1.4846368338086832E-2</v>
      </c>
      <c r="J1172" t="str">
        <f t="shared" si="73"/>
        <v>CC(=O)OCC[N+](C)(C)C.[Cl-]CC(=O)CCC(=O)O</v>
      </c>
      <c r="K1172">
        <v>12</v>
      </c>
      <c r="M1172">
        <f t="shared" si="74"/>
        <v>-0.72967870461249518</v>
      </c>
      <c r="N1172">
        <f t="shared" si="75"/>
        <v>-0.50950181147180862</v>
      </c>
    </row>
    <row r="1173" spans="1:14" x14ac:dyDescent="0.35">
      <c r="A1173">
        <v>1171</v>
      </c>
      <c r="B1173" t="s">
        <v>2</v>
      </c>
      <c r="C1173" t="s">
        <v>74</v>
      </c>
      <c r="D1173">
        <v>0.25</v>
      </c>
      <c r="E1173">
        <v>0.75</v>
      </c>
      <c r="F1173">
        <v>303.14999999999998</v>
      </c>
      <c r="G1173">
        <v>283.39999999999998</v>
      </c>
      <c r="H1173">
        <f t="shared" si="72"/>
        <v>-3.87</v>
      </c>
      <c r="I1173">
        <v>2.0858369425214716E-2</v>
      </c>
      <c r="J1173" t="str">
        <f t="shared" si="73"/>
        <v>CC(=O)OCC[N+](C)(C)C.[Cl-]CC(=O)CCC(=O)O</v>
      </c>
      <c r="K1173">
        <v>12</v>
      </c>
      <c r="M1173">
        <f t="shared" si="74"/>
        <v>-0.72967870461249518</v>
      </c>
      <c r="N1173">
        <f t="shared" si="75"/>
        <v>-0.46285740154651533</v>
      </c>
    </row>
    <row r="1174" spans="1:14" x14ac:dyDescent="0.35">
      <c r="A1174">
        <v>1172</v>
      </c>
      <c r="B1174" t="s">
        <v>2</v>
      </c>
      <c r="C1174" t="s">
        <v>74</v>
      </c>
      <c r="D1174">
        <v>0.25</v>
      </c>
      <c r="E1174">
        <v>0.75</v>
      </c>
      <c r="F1174">
        <v>303.14999999999998</v>
      </c>
      <c r="G1174">
        <v>388.3</v>
      </c>
      <c r="H1174">
        <f t="shared" si="72"/>
        <v>-3.5719857026424369</v>
      </c>
      <c r="I1174">
        <v>2.81E-2</v>
      </c>
      <c r="J1174" t="str">
        <f t="shared" si="73"/>
        <v>CC(=O)OCC[N+](C)(C)C.[Cl-]CC(=O)CCC(=O)O</v>
      </c>
      <c r="K1174">
        <v>12</v>
      </c>
      <c r="M1174">
        <f t="shared" si="74"/>
        <v>-0.72967870461249518</v>
      </c>
      <c r="N1174">
        <f t="shared" si="75"/>
        <v>-0.40418835357093663</v>
      </c>
    </row>
    <row r="1175" spans="1:14" x14ac:dyDescent="0.35">
      <c r="A1175">
        <v>1173</v>
      </c>
      <c r="B1175" t="s">
        <v>2</v>
      </c>
      <c r="C1175" t="s">
        <v>74</v>
      </c>
      <c r="D1175">
        <v>0.25</v>
      </c>
      <c r="E1175">
        <v>0.75</v>
      </c>
      <c r="F1175">
        <v>303.14999999999998</v>
      </c>
      <c r="G1175">
        <v>474.2</v>
      </c>
      <c r="H1175">
        <f t="shared" si="72"/>
        <v>-3.3872944764931638</v>
      </c>
      <c r="I1175">
        <v>3.3799999999999997E-2</v>
      </c>
      <c r="J1175" t="str">
        <f t="shared" si="73"/>
        <v>CC(=O)OCC[N+](C)(C)C.[Cl-]CC(=O)CCC(=O)O</v>
      </c>
      <c r="K1175">
        <v>12</v>
      </c>
      <c r="M1175">
        <f t="shared" si="74"/>
        <v>-0.72967870461249518</v>
      </c>
      <c r="N1175">
        <f t="shared" si="75"/>
        <v>-0.35614572991886595</v>
      </c>
    </row>
    <row r="1176" spans="1:14" x14ac:dyDescent="0.35">
      <c r="A1176">
        <v>1174</v>
      </c>
      <c r="B1176" t="s">
        <v>2</v>
      </c>
      <c r="C1176" t="s">
        <v>74</v>
      </c>
      <c r="D1176">
        <v>0.25</v>
      </c>
      <c r="E1176">
        <v>0.75</v>
      </c>
      <c r="F1176">
        <v>303.14999999999998</v>
      </c>
      <c r="G1176">
        <v>542.70000000000005</v>
      </c>
      <c r="H1176">
        <f t="shared" si="72"/>
        <v>-3.2623053827955366</v>
      </c>
      <c r="I1176">
        <v>3.8300000000000001E-2</v>
      </c>
      <c r="J1176" t="str">
        <f t="shared" si="73"/>
        <v>CC(=O)OCC[N+](C)(C)C.[Cl-]CC(=O)CCC(=O)O</v>
      </c>
      <c r="K1176">
        <v>12</v>
      </c>
      <c r="M1176">
        <f t="shared" si="74"/>
        <v>-0.72967870461249518</v>
      </c>
      <c r="N1176">
        <f t="shared" si="75"/>
        <v>-0.31783467380516583</v>
      </c>
    </row>
    <row r="1177" spans="1:14" x14ac:dyDescent="0.35">
      <c r="A1177">
        <v>1175</v>
      </c>
      <c r="B1177" t="s">
        <v>2</v>
      </c>
      <c r="C1177" t="s">
        <v>74</v>
      </c>
      <c r="D1177">
        <v>0.25</v>
      </c>
      <c r="E1177">
        <v>0.75</v>
      </c>
      <c r="F1177">
        <v>313.14999999999998</v>
      </c>
      <c r="G1177">
        <v>72.3</v>
      </c>
      <c r="H1177">
        <f t="shared" si="72"/>
        <v>-5.4</v>
      </c>
      <c r="I1177">
        <v>4.5165809426126659E-3</v>
      </c>
      <c r="J1177" t="str">
        <f t="shared" si="73"/>
        <v>CC(=O)OCC[N+](C)(C)C.[Cl-]CC(=O)CCC(=O)O</v>
      </c>
      <c r="K1177">
        <v>12</v>
      </c>
      <c r="M1177">
        <f t="shared" si="74"/>
        <v>5.4037971934950142E-2</v>
      </c>
      <c r="N1177">
        <f t="shared" si="75"/>
        <v>-0.58092256863559699</v>
      </c>
    </row>
    <row r="1178" spans="1:14" x14ac:dyDescent="0.35">
      <c r="A1178">
        <v>1176</v>
      </c>
      <c r="B1178" t="s">
        <v>2</v>
      </c>
      <c r="C1178" t="s">
        <v>74</v>
      </c>
      <c r="D1178">
        <v>0.25</v>
      </c>
      <c r="E1178">
        <v>0.75</v>
      </c>
      <c r="F1178">
        <v>313.14999999999998</v>
      </c>
      <c r="G1178">
        <v>132.30000000000001</v>
      </c>
      <c r="H1178">
        <f t="shared" si="72"/>
        <v>-4.88</v>
      </c>
      <c r="I1178">
        <v>7.597014027577567E-3</v>
      </c>
      <c r="J1178" t="str">
        <f t="shared" si="73"/>
        <v>CC(=O)OCC[N+](C)(C)C.[Cl-]CC(=O)CCC(=O)O</v>
      </c>
      <c r="K1178">
        <v>12</v>
      </c>
      <c r="M1178">
        <f t="shared" si="74"/>
        <v>5.4037971934950142E-2</v>
      </c>
      <c r="N1178">
        <f t="shared" si="75"/>
        <v>-0.54736543919294001</v>
      </c>
    </row>
    <row r="1179" spans="1:14" x14ac:dyDescent="0.35">
      <c r="A1179">
        <v>1177</v>
      </c>
      <c r="B1179" t="s">
        <v>2</v>
      </c>
      <c r="C1179" t="s">
        <v>74</v>
      </c>
      <c r="D1179">
        <v>0.25</v>
      </c>
      <c r="E1179">
        <v>0.75</v>
      </c>
      <c r="F1179">
        <v>313.14999999999998</v>
      </c>
      <c r="G1179">
        <v>215.1</v>
      </c>
      <c r="H1179">
        <f t="shared" si="72"/>
        <v>-4.37</v>
      </c>
      <c r="I1179">
        <v>1.2651240568005305E-2</v>
      </c>
      <c r="J1179" t="str">
        <f t="shared" si="73"/>
        <v>CC(=O)OCC[N+](C)(C)C.[Cl-]CC(=O)CCC(=O)O</v>
      </c>
      <c r="K1179">
        <v>12</v>
      </c>
      <c r="M1179">
        <f t="shared" si="74"/>
        <v>5.4037971934950142E-2</v>
      </c>
      <c r="N1179">
        <f t="shared" si="75"/>
        <v>-0.50105660056207324</v>
      </c>
    </row>
    <row r="1180" spans="1:14" x14ac:dyDescent="0.35">
      <c r="A1180">
        <v>1178</v>
      </c>
      <c r="B1180" t="s">
        <v>2</v>
      </c>
      <c r="C1180" t="s">
        <v>74</v>
      </c>
      <c r="D1180">
        <v>0.25</v>
      </c>
      <c r="E1180">
        <v>0.75</v>
      </c>
      <c r="F1180">
        <v>313.14999999999998</v>
      </c>
      <c r="G1180">
        <v>315.39999999999998</v>
      </c>
      <c r="H1180">
        <f t="shared" si="72"/>
        <v>-4.0199999999999996</v>
      </c>
      <c r="I1180">
        <v>1.7952964939502866E-2</v>
      </c>
      <c r="J1180" t="str">
        <f t="shared" si="73"/>
        <v>CC(=O)OCC[N+](C)(C)C.[Cl-]CC(=O)CCC(=O)O</v>
      </c>
      <c r="K1180">
        <v>12</v>
      </c>
      <c r="M1180">
        <f t="shared" si="74"/>
        <v>5.4037971934950142E-2</v>
      </c>
      <c r="N1180">
        <f t="shared" si="75"/>
        <v>-0.44496026584376491</v>
      </c>
    </row>
    <row r="1181" spans="1:14" x14ac:dyDescent="0.35">
      <c r="A1181">
        <v>1179</v>
      </c>
      <c r="B1181" t="s">
        <v>2</v>
      </c>
      <c r="C1181" t="s">
        <v>74</v>
      </c>
      <c r="D1181">
        <v>0.25</v>
      </c>
      <c r="E1181">
        <v>0.75</v>
      </c>
      <c r="F1181">
        <v>313.14999999999998</v>
      </c>
      <c r="G1181">
        <v>410.2</v>
      </c>
      <c r="H1181">
        <f t="shared" si="72"/>
        <v>-3.7942399697717626</v>
      </c>
      <c r="I1181">
        <v>2.2499999999999999E-2</v>
      </c>
      <c r="J1181" t="str">
        <f t="shared" si="73"/>
        <v>CC(=O)OCC[N+](C)(C)C.[Cl-]CC(=O)CCC(=O)O</v>
      </c>
      <c r="K1181">
        <v>12</v>
      </c>
      <c r="M1181">
        <f t="shared" si="74"/>
        <v>5.4037971934950142E-2</v>
      </c>
      <c r="N1181">
        <f t="shared" si="75"/>
        <v>-0.39194000132436679</v>
      </c>
    </row>
    <row r="1182" spans="1:14" x14ac:dyDescent="0.35">
      <c r="A1182">
        <v>1180</v>
      </c>
      <c r="B1182" t="s">
        <v>2</v>
      </c>
      <c r="C1182" t="s">
        <v>74</v>
      </c>
      <c r="D1182">
        <v>0.25</v>
      </c>
      <c r="E1182">
        <v>0.75</v>
      </c>
      <c r="F1182">
        <v>313.14999999999998</v>
      </c>
      <c r="G1182">
        <v>511.8</v>
      </c>
      <c r="H1182">
        <f t="shared" si="72"/>
        <v>-3.58</v>
      </c>
      <c r="I1182">
        <v>2.7875698255247015E-2</v>
      </c>
      <c r="J1182" t="str">
        <f t="shared" si="73"/>
        <v>CC(=O)OCC[N+](C)(C)C.[Cl-]CC(=O)CCC(=O)O</v>
      </c>
      <c r="K1182">
        <v>12</v>
      </c>
      <c r="M1182">
        <f t="shared" si="74"/>
        <v>5.4037971934950142E-2</v>
      </c>
      <c r="N1182">
        <f t="shared" si="75"/>
        <v>-0.33511659546813427</v>
      </c>
    </row>
    <row r="1183" spans="1:14" x14ac:dyDescent="0.35">
      <c r="A1183">
        <v>1181</v>
      </c>
      <c r="B1183" t="s">
        <v>2</v>
      </c>
      <c r="C1183" t="s">
        <v>74</v>
      </c>
      <c r="D1183">
        <v>0.25</v>
      </c>
      <c r="E1183">
        <v>0.75</v>
      </c>
      <c r="F1183">
        <v>313.14999999999998</v>
      </c>
      <c r="G1183">
        <v>570.1</v>
      </c>
      <c r="H1183">
        <f t="shared" si="72"/>
        <v>-3.473768074496991</v>
      </c>
      <c r="I1183">
        <v>3.1E-2</v>
      </c>
      <c r="J1183" t="str">
        <f t="shared" si="73"/>
        <v>CC(=O)OCC[N+](C)(C)C.[Cl-]CC(=O)CCC(=O)O</v>
      </c>
      <c r="K1183">
        <v>12</v>
      </c>
      <c r="M1183">
        <f t="shared" si="74"/>
        <v>5.4037971934950142E-2</v>
      </c>
      <c r="N1183">
        <f t="shared" si="75"/>
        <v>-0.30251025135968579</v>
      </c>
    </row>
    <row r="1184" spans="1:14" x14ac:dyDescent="0.35">
      <c r="A1184">
        <v>1182</v>
      </c>
      <c r="B1184" t="s">
        <v>2</v>
      </c>
      <c r="C1184" t="s">
        <v>74</v>
      </c>
      <c r="D1184">
        <v>0.25</v>
      </c>
      <c r="E1184">
        <v>0.75</v>
      </c>
      <c r="F1184">
        <v>323.14999999999998</v>
      </c>
      <c r="G1184">
        <v>77.5</v>
      </c>
      <c r="H1184">
        <f t="shared" si="72"/>
        <v>-5.66</v>
      </c>
      <c r="I1184">
        <v>3.4825168982116632E-3</v>
      </c>
      <c r="J1184" t="str">
        <f t="shared" si="73"/>
        <v>CC(=O)OCC[N+](C)(C)C.[Cl-]CC(=O)CCC(=O)O</v>
      </c>
      <c r="K1184">
        <v>12</v>
      </c>
      <c r="M1184">
        <f t="shared" si="74"/>
        <v>0.83775464848239545</v>
      </c>
      <c r="N1184">
        <f t="shared" si="75"/>
        <v>-0.5780142840839001</v>
      </c>
    </row>
    <row r="1185" spans="1:14" x14ac:dyDescent="0.35">
      <c r="A1185">
        <v>1183</v>
      </c>
      <c r="B1185" t="s">
        <v>2</v>
      </c>
      <c r="C1185" t="s">
        <v>74</v>
      </c>
      <c r="D1185">
        <v>0.25</v>
      </c>
      <c r="E1185">
        <v>0.75</v>
      </c>
      <c r="F1185">
        <v>323.14999999999998</v>
      </c>
      <c r="G1185">
        <v>129.9</v>
      </c>
      <c r="H1185">
        <f t="shared" si="72"/>
        <v>-5.15</v>
      </c>
      <c r="I1185">
        <v>5.7994047268421414E-3</v>
      </c>
      <c r="J1185" t="str">
        <f t="shared" si="73"/>
        <v>CC(=O)OCC[N+](C)(C)C.[Cl-]CC(=O)CCC(=O)O</v>
      </c>
      <c r="K1185">
        <v>12</v>
      </c>
      <c r="M1185">
        <f t="shared" si="74"/>
        <v>0.83775464848239545</v>
      </c>
      <c r="N1185">
        <f t="shared" si="75"/>
        <v>-0.5487077243706463</v>
      </c>
    </row>
    <row r="1186" spans="1:14" x14ac:dyDescent="0.35">
      <c r="A1186">
        <v>1184</v>
      </c>
      <c r="B1186" t="s">
        <v>2</v>
      </c>
      <c r="C1186" t="s">
        <v>74</v>
      </c>
      <c r="D1186">
        <v>0.25</v>
      </c>
      <c r="E1186">
        <v>0.75</v>
      </c>
      <c r="F1186">
        <v>323.14999999999998</v>
      </c>
      <c r="G1186">
        <v>220.1</v>
      </c>
      <c r="H1186">
        <f t="shared" si="72"/>
        <v>-4.6399999999999997</v>
      </c>
      <c r="I1186">
        <v>9.6576976275377768E-3</v>
      </c>
      <c r="J1186" t="str">
        <f t="shared" si="73"/>
        <v>CC(=O)OCC[N+](C)(C)C.[Cl-]CC(=O)CCC(=O)O</v>
      </c>
      <c r="K1186">
        <v>12</v>
      </c>
      <c r="M1186">
        <f t="shared" si="74"/>
        <v>0.83775464848239545</v>
      </c>
      <c r="N1186">
        <f t="shared" si="75"/>
        <v>-0.4982601731085185</v>
      </c>
    </row>
    <row r="1187" spans="1:14" x14ac:dyDescent="0.35">
      <c r="A1187">
        <v>1185</v>
      </c>
      <c r="B1187" t="s">
        <v>2</v>
      </c>
      <c r="C1187" t="s">
        <v>74</v>
      </c>
      <c r="D1187">
        <v>0.25</v>
      </c>
      <c r="E1187">
        <v>0.75</v>
      </c>
      <c r="F1187">
        <v>323.14999999999998</v>
      </c>
      <c r="G1187">
        <v>317.10000000000002</v>
      </c>
      <c r="H1187">
        <f t="shared" si="72"/>
        <v>-4.2758664388454912</v>
      </c>
      <c r="I1187">
        <v>1.3899999999999999E-2</v>
      </c>
      <c r="J1187" t="str">
        <f t="shared" si="73"/>
        <v>CC(=O)OCC[N+](C)(C)C.[Cl-]CC(=O)CCC(=O)O</v>
      </c>
      <c r="K1187">
        <v>12</v>
      </c>
      <c r="M1187">
        <f t="shared" si="74"/>
        <v>0.83775464848239545</v>
      </c>
      <c r="N1187">
        <f t="shared" si="75"/>
        <v>-0.4440094805095563</v>
      </c>
    </row>
    <row r="1188" spans="1:14" x14ac:dyDescent="0.35">
      <c r="A1188">
        <v>1186</v>
      </c>
      <c r="B1188" t="s">
        <v>2</v>
      </c>
      <c r="C1188" t="s">
        <v>74</v>
      </c>
      <c r="D1188">
        <v>0.25</v>
      </c>
      <c r="E1188">
        <v>0.75</v>
      </c>
      <c r="F1188">
        <v>323.14999999999998</v>
      </c>
      <c r="G1188">
        <v>414.7</v>
      </c>
      <c r="H1188">
        <f t="shared" si="72"/>
        <v>-4.01</v>
      </c>
      <c r="I1188">
        <v>1.8133395236801075E-2</v>
      </c>
      <c r="J1188" t="str">
        <f t="shared" si="73"/>
        <v>CC(=O)OCC[N+](C)(C)C.[Cl-]CC(=O)CCC(=O)O</v>
      </c>
      <c r="K1188">
        <v>12</v>
      </c>
      <c r="M1188">
        <f t="shared" si="74"/>
        <v>0.83775464848239545</v>
      </c>
      <c r="N1188">
        <f t="shared" si="75"/>
        <v>-0.38942321661616752</v>
      </c>
    </row>
    <row r="1189" spans="1:14" x14ac:dyDescent="0.35">
      <c r="A1189">
        <v>1187</v>
      </c>
      <c r="B1189" t="s">
        <v>2</v>
      </c>
      <c r="C1189" t="s">
        <v>74</v>
      </c>
      <c r="D1189">
        <v>0.25</v>
      </c>
      <c r="E1189">
        <v>0.75</v>
      </c>
      <c r="F1189">
        <v>323.14999999999998</v>
      </c>
      <c r="G1189">
        <v>512.29999999999995</v>
      </c>
      <c r="H1189">
        <f t="shared" si="72"/>
        <v>-3.81</v>
      </c>
      <c r="I1189">
        <v>2.2148178957037315E-2</v>
      </c>
      <c r="J1189" t="str">
        <f t="shared" si="73"/>
        <v>CC(=O)OCC[N+](C)(C)C.[Cl-]CC(=O)CCC(=O)O</v>
      </c>
      <c r="K1189">
        <v>12</v>
      </c>
      <c r="M1189">
        <f t="shared" si="74"/>
        <v>0.83775464848239545</v>
      </c>
      <c r="N1189">
        <f t="shared" si="75"/>
        <v>-0.3348369527227788</v>
      </c>
    </row>
    <row r="1190" spans="1:14" x14ac:dyDescent="0.35">
      <c r="A1190">
        <v>1188</v>
      </c>
      <c r="B1190" t="s">
        <v>2</v>
      </c>
      <c r="C1190" t="s">
        <v>74</v>
      </c>
      <c r="D1190">
        <v>0.25</v>
      </c>
      <c r="E1190">
        <v>0.75</v>
      </c>
      <c r="F1190">
        <v>323.14999999999998</v>
      </c>
      <c r="G1190">
        <v>576.4</v>
      </c>
      <c r="H1190">
        <f t="shared" si="72"/>
        <v>-3.6928874755114753</v>
      </c>
      <c r="I1190">
        <v>2.4899999999999999E-2</v>
      </c>
      <c r="J1190" t="str">
        <f t="shared" si="73"/>
        <v>CC(=O)OCC[N+](C)(C)C.[Cl-]CC(=O)CCC(=O)O</v>
      </c>
      <c r="K1190">
        <v>12</v>
      </c>
      <c r="M1190">
        <f t="shared" si="74"/>
        <v>0.83775464848239545</v>
      </c>
      <c r="N1190">
        <f t="shared" si="75"/>
        <v>-0.29898675276820685</v>
      </c>
    </row>
    <row r="1191" spans="1:14" x14ac:dyDescent="0.35">
      <c r="A1191">
        <v>1189</v>
      </c>
      <c r="B1191" t="s">
        <v>2</v>
      </c>
      <c r="C1191" t="s">
        <v>74</v>
      </c>
      <c r="D1191">
        <v>0.25</v>
      </c>
      <c r="E1191">
        <v>0.75</v>
      </c>
      <c r="F1191">
        <v>333.15</v>
      </c>
      <c r="G1191">
        <v>83</v>
      </c>
      <c r="H1191">
        <f t="shared" si="72"/>
        <v>-5.68</v>
      </c>
      <c r="I1191">
        <v>3.4135584433954303E-3</v>
      </c>
      <c r="J1191" t="str">
        <f t="shared" si="73"/>
        <v>CC(=O)OCC[N+](C)(C)C.[Cl-]CC(=O)CCC(=O)O</v>
      </c>
      <c r="K1191">
        <v>12</v>
      </c>
      <c r="M1191">
        <f t="shared" si="74"/>
        <v>1.6214713250298407</v>
      </c>
      <c r="N1191">
        <f t="shared" si="75"/>
        <v>-0.57493821388498978</v>
      </c>
    </row>
    <row r="1192" spans="1:14" x14ac:dyDescent="0.35">
      <c r="A1192">
        <v>1190</v>
      </c>
      <c r="B1192" t="s">
        <v>2</v>
      </c>
      <c r="C1192" t="s">
        <v>74</v>
      </c>
      <c r="D1192">
        <v>0.25</v>
      </c>
      <c r="E1192">
        <v>0.75</v>
      </c>
      <c r="F1192">
        <v>333.15</v>
      </c>
      <c r="G1192">
        <v>133.5</v>
      </c>
      <c r="H1192">
        <f t="shared" si="72"/>
        <v>-5.24</v>
      </c>
      <c r="I1192">
        <v>5.3002568358704021E-3</v>
      </c>
      <c r="J1192" t="str">
        <f t="shared" si="73"/>
        <v>CC(=O)OCC[N+](C)(C)C.[Cl-]CC(=O)CCC(=O)O</v>
      </c>
      <c r="K1192">
        <v>12</v>
      </c>
      <c r="M1192">
        <f t="shared" si="74"/>
        <v>1.6214713250298407</v>
      </c>
      <c r="N1192">
        <f t="shared" si="75"/>
        <v>-0.54669429660408686</v>
      </c>
    </row>
    <row r="1193" spans="1:14" x14ac:dyDescent="0.35">
      <c r="A1193">
        <v>1191</v>
      </c>
      <c r="B1193" t="s">
        <v>2</v>
      </c>
      <c r="C1193" t="s">
        <v>74</v>
      </c>
      <c r="D1193">
        <v>0.25</v>
      </c>
      <c r="E1193">
        <v>0.75</v>
      </c>
      <c r="F1193">
        <v>333.15</v>
      </c>
      <c r="G1193">
        <v>223.6</v>
      </c>
      <c r="H1193">
        <f t="shared" si="72"/>
        <v>-4.78</v>
      </c>
      <c r="I1193">
        <v>8.3959989674914706E-3</v>
      </c>
      <c r="J1193" t="str">
        <f t="shared" si="73"/>
        <v>CC(=O)OCC[N+](C)(C)C.[Cl-]CC(=O)CCC(=O)O</v>
      </c>
      <c r="K1193">
        <v>12</v>
      </c>
      <c r="M1193">
        <f t="shared" si="74"/>
        <v>1.6214713250298407</v>
      </c>
      <c r="N1193">
        <f t="shared" si="75"/>
        <v>-0.49630267389103017</v>
      </c>
    </row>
    <row r="1194" spans="1:14" x14ac:dyDescent="0.35">
      <c r="A1194">
        <v>1192</v>
      </c>
      <c r="B1194" t="s">
        <v>2</v>
      </c>
      <c r="C1194" t="s">
        <v>74</v>
      </c>
      <c r="D1194">
        <v>0.25</v>
      </c>
      <c r="E1194">
        <v>0.75</v>
      </c>
      <c r="F1194">
        <v>333.15</v>
      </c>
      <c r="G1194">
        <v>320.60000000000002</v>
      </c>
      <c r="H1194">
        <f t="shared" si="72"/>
        <v>-4.45</v>
      </c>
      <c r="I1194">
        <v>1.1678566970395442E-2</v>
      </c>
      <c r="J1194" t="str">
        <f t="shared" si="73"/>
        <v>CC(=O)OCC[N+](C)(C)C.[Cl-]CC(=O)CCC(=O)O</v>
      </c>
      <c r="K1194">
        <v>12</v>
      </c>
      <c r="M1194">
        <f t="shared" si="74"/>
        <v>1.6214713250298407</v>
      </c>
      <c r="N1194">
        <f t="shared" si="75"/>
        <v>-0.44205198129206796</v>
      </c>
    </row>
    <row r="1195" spans="1:14" x14ac:dyDescent="0.35">
      <c r="A1195">
        <v>1193</v>
      </c>
      <c r="B1195" t="s">
        <v>2</v>
      </c>
      <c r="C1195" t="s">
        <v>74</v>
      </c>
      <c r="D1195">
        <v>0.25</v>
      </c>
      <c r="E1195">
        <v>0.75</v>
      </c>
      <c r="F1195">
        <v>333.15</v>
      </c>
      <c r="G1195">
        <v>415.2</v>
      </c>
      <c r="H1195">
        <f t="shared" si="72"/>
        <v>-4.2</v>
      </c>
      <c r="I1195">
        <v>1.4995576820477703E-2</v>
      </c>
      <c r="J1195" t="str">
        <f t="shared" si="73"/>
        <v>CC(=O)OCC[N+](C)(C)C.[Cl-]CC(=O)CCC(=O)O</v>
      </c>
      <c r="K1195">
        <v>12</v>
      </c>
      <c r="M1195">
        <f t="shared" si="74"/>
        <v>1.6214713250298407</v>
      </c>
      <c r="N1195">
        <f t="shared" si="75"/>
        <v>-0.38914357387081205</v>
      </c>
    </row>
    <row r="1196" spans="1:14" x14ac:dyDescent="0.35">
      <c r="A1196">
        <v>1194</v>
      </c>
      <c r="B1196" t="s">
        <v>2</v>
      </c>
      <c r="C1196" t="s">
        <v>74</v>
      </c>
      <c r="D1196">
        <v>0.25</v>
      </c>
      <c r="E1196">
        <v>0.75</v>
      </c>
      <c r="F1196">
        <v>333.15</v>
      </c>
      <c r="G1196">
        <v>513.29999999999995</v>
      </c>
      <c r="H1196">
        <f t="shared" si="72"/>
        <v>-3.9954046143671973</v>
      </c>
      <c r="I1196">
        <v>1.84E-2</v>
      </c>
      <c r="J1196" t="str">
        <f t="shared" si="73"/>
        <v>CC(=O)OCC[N+](C)(C)C.[Cl-]CC(=O)CCC(=O)O</v>
      </c>
      <c r="K1196">
        <v>12</v>
      </c>
      <c r="M1196">
        <f t="shared" si="74"/>
        <v>1.6214713250298407</v>
      </c>
      <c r="N1196">
        <f t="shared" si="75"/>
        <v>-0.33427766723206781</v>
      </c>
    </row>
    <row r="1197" spans="1:14" x14ac:dyDescent="0.35">
      <c r="A1197">
        <v>1195</v>
      </c>
      <c r="B1197" t="s">
        <v>2</v>
      </c>
      <c r="C1197" t="s">
        <v>74</v>
      </c>
      <c r="D1197">
        <v>0.25</v>
      </c>
      <c r="E1197">
        <v>0.75</v>
      </c>
      <c r="F1197">
        <v>333.15</v>
      </c>
      <c r="G1197">
        <v>571.6</v>
      </c>
      <c r="H1197">
        <f t="shared" si="72"/>
        <v>-3.8971343929343956</v>
      </c>
      <c r="I1197">
        <v>2.0299999999999999E-2</v>
      </c>
      <c r="J1197" t="str">
        <f t="shared" si="73"/>
        <v>CC(=O)OCC[N+](C)(C)C.[Cl-]CC(=O)CCC(=O)O</v>
      </c>
      <c r="K1197">
        <v>12</v>
      </c>
      <c r="M1197">
        <f t="shared" si="74"/>
        <v>1.6214713250298407</v>
      </c>
      <c r="N1197">
        <f t="shared" si="75"/>
        <v>-0.30167132312361938</v>
      </c>
    </row>
    <row r="1198" spans="1:14" x14ac:dyDescent="0.35">
      <c r="A1198">
        <v>1196</v>
      </c>
      <c r="B1198" t="s">
        <v>15</v>
      </c>
      <c r="C1198" t="s">
        <v>74</v>
      </c>
      <c r="D1198">
        <v>0.25</v>
      </c>
      <c r="E1198">
        <v>0.75</v>
      </c>
      <c r="F1198">
        <v>303.14999999999998</v>
      </c>
      <c r="G1198">
        <v>66.099999999999994</v>
      </c>
      <c r="H1198">
        <f t="shared" si="72"/>
        <v>-5.43</v>
      </c>
      <c r="I1198">
        <v>4.3830958026687761E-3</v>
      </c>
      <c r="J1198" t="str">
        <f t="shared" si="73"/>
        <v>CC[N+](CC)(CC)CC.[Cl-]CC(=O)CCC(=O)O</v>
      </c>
      <c r="K1198">
        <v>54</v>
      </c>
      <c r="M1198">
        <f t="shared" si="74"/>
        <v>-0.72967870461249518</v>
      </c>
      <c r="N1198">
        <f t="shared" si="75"/>
        <v>-0.58439013867800493</v>
      </c>
    </row>
    <row r="1199" spans="1:14" x14ac:dyDescent="0.35">
      <c r="A1199">
        <v>1197</v>
      </c>
      <c r="B1199" t="s">
        <v>15</v>
      </c>
      <c r="C1199" t="s">
        <v>74</v>
      </c>
      <c r="D1199">
        <v>0.25</v>
      </c>
      <c r="E1199">
        <v>0.75</v>
      </c>
      <c r="F1199">
        <v>303.14999999999998</v>
      </c>
      <c r="G1199">
        <v>125.6</v>
      </c>
      <c r="H1199">
        <f t="shared" si="72"/>
        <v>-4.8</v>
      </c>
      <c r="I1199">
        <v>8.2297470490200302E-3</v>
      </c>
      <c r="J1199" t="str">
        <f t="shared" si="73"/>
        <v>CC[N+](CC)(CC)CC.[Cl-]CC(=O)CCC(=O)O</v>
      </c>
      <c r="K1199">
        <v>54</v>
      </c>
      <c r="M1199">
        <f t="shared" si="74"/>
        <v>-0.72967870461249518</v>
      </c>
      <c r="N1199">
        <f t="shared" si="75"/>
        <v>-0.55111265198070336</v>
      </c>
    </row>
    <row r="1200" spans="1:14" x14ac:dyDescent="0.35">
      <c r="A1200">
        <v>1198</v>
      </c>
      <c r="B1200" t="s">
        <v>15</v>
      </c>
      <c r="C1200" t="s">
        <v>74</v>
      </c>
      <c r="D1200">
        <v>0.25</v>
      </c>
      <c r="E1200">
        <v>0.75</v>
      </c>
      <c r="F1200">
        <v>303.14999999999998</v>
      </c>
      <c r="G1200">
        <v>211.6</v>
      </c>
      <c r="H1200">
        <f t="shared" si="72"/>
        <v>-4.29</v>
      </c>
      <c r="I1200">
        <v>1.3704925297364945E-2</v>
      </c>
      <c r="J1200" t="str">
        <f t="shared" si="73"/>
        <v>CC[N+](CC)(CC)CC.[Cl-]CC(=O)CCC(=O)O</v>
      </c>
      <c r="K1200">
        <v>54</v>
      </c>
      <c r="M1200">
        <f t="shared" si="74"/>
        <v>-0.72967870461249518</v>
      </c>
      <c r="N1200">
        <f t="shared" si="75"/>
        <v>-0.50301409977956157</v>
      </c>
    </row>
    <row r="1201" spans="1:14" x14ac:dyDescent="0.35">
      <c r="A1201">
        <v>1199</v>
      </c>
      <c r="B1201" t="s">
        <v>15</v>
      </c>
      <c r="C1201" t="s">
        <v>74</v>
      </c>
      <c r="D1201">
        <v>0.25</v>
      </c>
      <c r="E1201">
        <v>0.75</v>
      </c>
      <c r="F1201">
        <v>303.14999999999998</v>
      </c>
      <c r="G1201">
        <v>302.8</v>
      </c>
      <c r="H1201">
        <f t="shared" si="72"/>
        <v>-3.97</v>
      </c>
      <c r="I1201">
        <v>1.8873433135151486E-2</v>
      </c>
      <c r="J1201" t="str">
        <f t="shared" si="73"/>
        <v>CC[N+](CC)(CC)CC.[Cl-]CC(=O)CCC(=O)O</v>
      </c>
      <c r="K1201">
        <v>54</v>
      </c>
      <c r="M1201">
        <f t="shared" si="74"/>
        <v>-0.72967870461249518</v>
      </c>
      <c r="N1201">
        <f t="shared" si="75"/>
        <v>-0.45200726302672289</v>
      </c>
    </row>
    <row r="1202" spans="1:14" x14ac:dyDescent="0.35">
      <c r="A1202">
        <v>1200</v>
      </c>
      <c r="B1202" t="s">
        <v>15</v>
      </c>
      <c r="C1202" t="s">
        <v>74</v>
      </c>
      <c r="D1202">
        <v>0.25</v>
      </c>
      <c r="E1202">
        <v>0.75</v>
      </c>
      <c r="F1202">
        <v>303.14999999999998</v>
      </c>
      <c r="G1202">
        <v>404.1</v>
      </c>
      <c r="H1202">
        <f t="shared" si="72"/>
        <v>-3.6969116258112007</v>
      </c>
      <c r="I1202">
        <v>2.4799999999999999E-2</v>
      </c>
      <c r="J1202" t="str">
        <f t="shared" si="73"/>
        <v>CC[N+](CC)(CC)CC.[Cl-]CC(=O)CCC(=O)O</v>
      </c>
      <c r="K1202">
        <v>54</v>
      </c>
      <c r="M1202">
        <f t="shared" si="74"/>
        <v>-0.72967870461249518</v>
      </c>
      <c r="N1202">
        <f t="shared" si="75"/>
        <v>-0.39535164281770357</v>
      </c>
    </row>
    <row r="1203" spans="1:14" x14ac:dyDescent="0.35">
      <c r="A1203">
        <v>1201</v>
      </c>
      <c r="B1203" t="s">
        <v>15</v>
      </c>
      <c r="C1203" t="s">
        <v>74</v>
      </c>
      <c r="D1203">
        <v>0.25</v>
      </c>
      <c r="E1203">
        <v>0.75</v>
      </c>
      <c r="F1203">
        <v>303.14999999999998</v>
      </c>
      <c r="G1203">
        <v>500.2</v>
      </c>
      <c r="H1203">
        <f t="shared" si="72"/>
        <v>-3.49</v>
      </c>
      <c r="I1203">
        <v>3.0500872171217483E-2</v>
      </c>
      <c r="J1203" t="str">
        <f t="shared" si="73"/>
        <v>CC[N+](CC)(CC)CC.[Cl-]CC(=O)CCC(=O)O</v>
      </c>
      <c r="K1203">
        <v>54</v>
      </c>
      <c r="M1203">
        <f t="shared" si="74"/>
        <v>-0.72967870461249518</v>
      </c>
      <c r="N1203">
        <f t="shared" si="75"/>
        <v>-0.34160430716038126</v>
      </c>
    </row>
    <row r="1204" spans="1:14" x14ac:dyDescent="0.35">
      <c r="A1204">
        <v>1202</v>
      </c>
      <c r="B1204" t="s">
        <v>15</v>
      </c>
      <c r="C1204" t="s">
        <v>74</v>
      </c>
      <c r="D1204">
        <v>0.25</v>
      </c>
      <c r="E1204">
        <v>0.75</v>
      </c>
      <c r="F1204">
        <v>303.14999999999998</v>
      </c>
      <c r="G1204">
        <v>561.6</v>
      </c>
      <c r="H1204">
        <f t="shared" si="72"/>
        <v>-3.38</v>
      </c>
      <c r="I1204">
        <v>3.4047454734599344E-2</v>
      </c>
      <c r="J1204" t="str">
        <f t="shared" si="73"/>
        <v>CC[N+](CC)(CC)CC.[Cl-]CC(=O)CCC(=O)O</v>
      </c>
      <c r="K1204">
        <v>54</v>
      </c>
      <c r="M1204">
        <f t="shared" si="74"/>
        <v>-0.72967870461249518</v>
      </c>
      <c r="N1204">
        <f t="shared" si="75"/>
        <v>-0.30726417803072886</v>
      </c>
    </row>
    <row r="1205" spans="1:14" x14ac:dyDescent="0.35">
      <c r="A1205">
        <v>1203</v>
      </c>
      <c r="B1205" t="s">
        <v>15</v>
      </c>
      <c r="C1205" t="s">
        <v>74</v>
      </c>
      <c r="D1205">
        <v>0.25</v>
      </c>
      <c r="E1205">
        <v>0.75</v>
      </c>
      <c r="F1205">
        <v>313.14999999999998</v>
      </c>
      <c r="G1205">
        <v>77.599999999999994</v>
      </c>
      <c r="H1205">
        <f t="shared" si="72"/>
        <v>-5.57</v>
      </c>
      <c r="I1205">
        <v>3.810480432592037E-3</v>
      </c>
      <c r="J1205" t="str">
        <f t="shared" si="73"/>
        <v>CC[N+](CC)(CC)CC.[Cl-]CC(=O)CCC(=O)O</v>
      </c>
      <c r="K1205">
        <v>54</v>
      </c>
      <c r="M1205">
        <f t="shared" si="74"/>
        <v>5.4037971934950142E-2</v>
      </c>
      <c r="N1205">
        <f t="shared" si="75"/>
        <v>-0.57795835553482899</v>
      </c>
    </row>
    <row r="1206" spans="1:14" x14ac:dyDescent="0.35">
      <c r="A1206">
        <v>1204</v>
      </c>
      <c r="B1206" t="s">
        <v>15</v>
      </c>
      <c r="C1206" t="s">
        <v>74</v>
      </c>
      <c r="D1206">
        <v>0.25</v>
      </c>
      <c r="E1206">
        <v>0.75</v>
      </c>
      <c r="F1206">
        <v>313.14999999999998</v>
      </c>
      <c r="G1206">
        <v>131.80000000000001</v>
      </c>
      <c r="H1206">
        <f t="shared" si="72"/>
        <v>-5.04</v>
      </c>
      <c r="I1206">
        <v>6.4737483182894049E-3</v>
      </c>
      <c r="J1206" t="str">
        <f t="shared" si="73"/>
        <v>CC[N+](CC)(CC)CC.[Cl-]CC(=O)CCC(=O)O</v>
      </c>
      <c r="K1206">
        <v>54</v>
      </c>
      <c r="M1206">
        <f t="shared" si="74"/>
        <v>5.4037971934950142E-2</v>
      </c>
      <c r="N1206">
        <f t="shared" si="75"/>
        <v>-0.54764508193829542</v>
      </c>
    </row>
    <row r="1207" spans="1:14" x14ac:dyDescent="0.35">
      <c r="A1207">
        <v>1205</v>
      </c>
      <c r="B1207" t="s">
        <v>15</v>
      </c>
      <c r="C1207" t="s">
        <v>74</v>
      </c>
      <c r="D1207">
        <v>0.25</v>
      </c>
      <c r="E1207">
        <v>0.75</v>
      </c>
      <c r="F1207">
        <v>313.14999999999998</v>
      </c>
      <c r="G1207">
        <v>219.8</v>
      </c>
      <c r="H1207">
        <f t="shared" si="72"/>
        <v>-4.55</v>
      </c>
      <c r="I1207">
        <v>1.0567204383852655E-2</v>
      </c>
      <c r="J1207" t="str">
        <f t="shared" si="73"/>
        <v>CC[N+](CC)(CC)CC.[Cl-]CC(=O)CCC(=O)O</v>
      </c>
      <c r="K1207">
        <v>54</v>
      </c>
      <c r="M1207">
        <f t="shared" si="74"/>
        <v>5.4037971934950142E-2</v>
      </c>
      <c r="N1207">
        <f t="shared" si="75"/>
        <v>-0.49842795875573181</v>
      </c>
    </row>
    <row r="1208" spans="1:14" x14ac:dyDescent="0.35">
      <c r="A1208">
        <v>1206</v>
      </c>
      <c r="B1208" t="s">
        <v>15</v>
      </c>
      <c r="C1208" t="s">
        <v>74</v>
      </c>
      <c r="D1208">
        <v>0.25</v>
      </c>
      <c r="E1208">
        <v>0.75</v>
      </c>
      <c r="F1208">
        <v>313.14999999999998</v>
      </c>
      <c r="G1208">
        <v>316.89999999999998</v>
      </c>
      <c r="H1208">
        <f t="shared" si="72"/>
        <v>-4.1733877695625532</v>
      </c>
      <c r="I1208">
        <v>1.54E-2</v>
      </c>
      <c r="J1208" t="str">
        <f t="shared" si="73"/>
        <v>CC[N+](CC)(CC)CC.[Cl-]CC(=O)CCC(=O)O</v>
      </c>
      <c r="K1208">
        <v>54</v>
      </c>
      <c r="M1208">
        <f t="shared" si="74"/>
        <v>5.4037971934950142E-2</v>
      </c>
      <c r="N1208">
        <f t="shared" si="75"/>
        <v>-0.44412133760769851</v>
      </c>
    </row>
    <row r="1209" spans="1:14" x14ac:dyDescent="0.35">
      <c r="A1209">
        <v>1207</v>
      </c>
      <c r="B1209" t="s">
        <v>15</v>
      </c>
      <c r="C1209" t="s">
        <v>74</v>
      </c>
      <c r="D1209">
        <v>0.25</v>
      </c>
      <c r="E1209">
        <v>0.75</v>
      </c>
      <c r="F1209">
        <v>313.14999999999998</v>
      </c>
      <c r="G1209">
        <v>416.9</v>
      </c>
      <c r="H1209">
        <f t="shared" si="72"/>
        <v>-3.8971343929343956</v>
      </c>
      <c r="I1209">
        <v>2.0299999999999999E-2</v>
      </c>
      <c r="J1209" t="str">
        <f t="shared" si="73"/>
        <v>CC[N+](CC)(CC)CC.[Cl-]CC(=O)CCC(=O)O</v>
      </c>
      <c r="K1209">
        <v>54</v>
      </c>
      <c r="M1209">
        <f t="shared" si="74"/>
        <v>5.4037971934950142E-2</v>
      </c>
      <c r="N1209">
        <f t="shared" si="75"/>
        <v>-0.38819278853660344</v>
      </c>
    </row>
    <row r="1210" spans="1:14" x14ac:dyDescent="0.35">
      <c r="A1210">
        <v>1208</v>
      </c>
      <c r="B1210" t="s">
        <v>15</v>
      </c>
      <c r="C1210" t="s">
        <v>74</v>
      </c>
      <c r="D1210">
        <v>0.25</v>
      </c>
      <c r="E1210">
        <v>0.75</v>
      </c>
      <c r="F1210">
        <v>313.14999999999998</v>
      </c>
      <c r="G1210">
        <v>516.4</v>
      </c>
      <c r="H1210">
        <f t="shared" si="72"/>
        <v>-3.6769508832486624</v>
      </c>
      <c r="I1210">
        <v>2.53E-2</v>
      </c>
      <c r="J1210" t="str">
        <f t="shared" si="73"/>
        <v>CC[N+](CC)(CC)CC.[Cl-]CC(=O)CCC(=O)O</v>
      </c>
      <c r="K1210">
        <v>54</v>
      </c>
      <c r="M1210">
        <f t="shared" si="74"/>
        <v>5.4037971934950142E-2</v>
      </c>
      <c r="N1210">
        <f t="shared" si="75"/>
        <v>-0.33254388221086389</v>
      </c>
    </row>
    <row r="1211" spans="1:14" x14ac:dyDescent="0.35">
      <c r="A1211">
        <v>1209</v>
      </c>
      <c r="B1211" t="s">
        <v>15</v>
      </c>
      <c r="C1211" t="s">
        <v>74</v>
      </c>
      <c r="D1211">
        <v>0.25</v>
      </c>
      <c r="E1211">
        <v>0.75</v>
      </c>
      <c r="F1211">
        <v>313.14999999999998</v>
      </c>
      <c r="G1211">
        <v>581.29999999999995</v>
      </c>
      <c r="H1211">
        <f t="shared" si="72"/>
        <v>-3.56</v>
      </c>
      <c r="I1211">
        <v>2.8438824714184505E-2</v>
      </c>
      <c r="J1211" t="str">
        <f t="shared" si="73"/>
        <v>CC[N+](CC)(CC)CC.[Cl-]CC(=O)CCC(=O)O</v>
      </c>
      <c r="K1211">
        <v>54</v>
      </c>
      <c r="M1211">
        <f t="shared" si="74"/>
        <v>5.4037971934950142E-2</v>
      </c>
      <c r="N1211">
        <f t="shared" si="75"/>
        <v>-0.29624625386372322</v>
      </c>
    </row>
    <row r="1212" spans="1:14" x14ac:dyDescent="0.35">
      <c r="A1212">
        <v>1210</v>
      </c>
      <c r="B1212" t="s">
        <v>15</v>
      </c>
      <c r="C1212" t="s">
        <v>74</v>
      </c>
      <c r="D1212">
        <v>0.25</v>
      </c>
      <c r="E1212">
        <v>0.75</v>
      </c>
      <c r="F1212">
        <v>323.14999999999998</v>
      </c>
      <c r="G1212">
        <v>78</v>
      </c>
      <c r="H1212">
        <f t="shared" si="72"/>
        <v>-5.66</v>
      </c>
      <c r="I1212">
        <v>3.4825168982116632E-3</v>
      </c>
      <c r="J1212" t="str">
        <f t="shared" si="73"/>
        <v>CC[N+](CC)(CC)CC.[Cl-]CC(=O)CCC(=O)O</v>
      </c>
      <c r="K1212">
        <v>54</v>
      </c>
      <c r="M1212">
        <f t="shared" si="74"/>
        <v>0.83775464848239545</v>
      </c>
      <c r="N1212">
        <f t="shared" si="75"/>
        <v>-0.57773464133854457</v>
      </c>
    </row>
    <row r="1213" spans="1:14" x14ac:dyDescent="0.35">
      <c r="A1213">
        <v>1211</v>
      </c>
      <c r="B1213" t="s">
        <v>15</v>
      </c>
      <c r="C1213" t="s">
        <v>74</v>
      </c>
      <c r="D1213">
        <v>0.25</v>
      </c>
      <c r="E1213">
        <v>0.75</v>
      </c>
      <c r="F1213">
        <v>323.14999999999998</v>
      </c>
      <c r="G1213">
        <v>144.1</v>
      </c>
      <c r="H1213">
        <f t="shared" si="72"/>
        <v>-5.07</v>
      </c>
      <c r="I1213">
        <v>6.2824201408011177E-3</v>
      </c>
      <c r="J1213" t="str">
        <f t="shared" si="73"/>
        <v>CC[N+](CC)(CC)CC.[Cl-]CC(=O)CCC(=O)O</v>
      </c>
      <c r="K1213">
        <v>54</v>
      </c>
      <c r="M1213">
        <f t="shared" si="74"/>
        <v>0.83775464848239545</v>
      </c>
      <c r="N1213">
        <f t="shared" si="75"/>
        <v>-0.54076587040255075</v>
      </c>
    </row>
    <row r="1214" spans="1:14" x14ac:dyDescent="0.35">
      <c r="A1214">
        <v>1212</v>
      </c>
      <c r="B1214" t="s">
        <v>15</v>
      </c>
      <c r="C1214" t="s">
        <v>74</v>
      </c>
      <c r="D1214">
        <v>0.25</v>
      </c>
      <c r="E1214">
        <v>0.75</v>
      </c>
      <c r="F1214">
        <v>323.14999999999998</v>
      </c>
      <c r="G1214">
        <v>229.1</v>
      </c>
      <c r="H1214">
        <f t="shared" si="72"/>
        <v>-4.6100000000000003</v>
      </c>
      <c r="I1214">
        <v>9.9518183078484198E-3</v>
      </c>
      <c r="J1214" t="str">
        <f t="shared" si="73"/>
        <v>CC[N+](CC)(CC)CC.[Cl-]CC(=O)CCC(=O)O</v>
      </c>
      <c r="K1214">
        <v>54</v>
      </c>
      <c r="M1214">
        <f t="shared" si="74"/>
        <v>0.83775464848239545</v>
      </c>
      <c r="N1214">
        <f t="shared" si="75"/>
        <v>-0.49322660369211996</v>
      </c>
    </row>
    <row r="1215" spans="1:14" x14ac:dyDescent="0.35">
      <c r="A1215">
        <v>1213</v>
      </c>
      <c r="B1215" t="s">
        <v>15</v>
      </c>
      <c r="C1215" t="s">
        <v>74</v>
      </c>
      <c r="D1215">
        <v>0.25</v>
      </c>
      <c r="E1215">
        <v>0.75</v>
      </c>
      <c r="F1215">
        <v>323.14999999999998</v>
      </c>
      <c r="G1215">
        <v>325.89999999999998</v>
      </c>
      <c r="H1215">
        <f t="shared" si="72"/>
        <v>-4.26</v>
      </c>
      <c r="I1215">
        <v>1.4122302410163962E-2</v>
      </c>
      <c r="J1215" t="str">
        <f t="shared" si="73"/>
        <v>CC[N+](CC)(CC)CC.[Cl-]CC(=O)CCC(=O)O</v>
      </c>
      <c r="K1215">
        <v>54</v>
      </c>
      <c r="M1215">
        <f t="shared" si="74"/>
        <v>0.83775464848239545</v>
      </c>
      <c r="N1215">
        <f t="shared" si="75"/>
        <v>-0.43908776819129997</v>
      </c>
    </row>
    <row r="1216" spans="1:14" x14ac:dyDescent="0.35">
      <c r="A1216">
        <v>1214</v>
      </c>
      <c r="B1216" t="s">
        <v>15</v>
      </c>
      <c r="C1216" t="s">
        <v>74</v>
      </c>
      <c r="D1216">
        <v>0.25</v>
      </c>
      <c r="E1216">
        <v>0.75</v>
      </c>
      <c r="F1216">
        <v>323.14999999999998</v>
      </c>
      <c r="G1216">
        <v>421.6</v>
      </c>
      <c r="H1216">
        <f t="shared" si="72"/>
        <v>-4.01</v>
      </c>
      <c r="I1216">
        <v>1.8133395236801075E-2</v>
      </c>
      <c r="J1216" t="str">
        <f t="shared" si="73"/>
        <v>CC[N+](CC)(CC)CC.[Cl-]CC(=O)CCC(=O)O</v>
      </c>
      <c r="K1216">
        <v>54</v>
      </c>
      <c r="M1216">
        <f t="shared" si="74"/>
        <v>0.83775464848239545</v>
      </c>
      <c r="N1216">
        <f t="shared" si="75"/>
        <v>-0.38556414673026196</v>
      </c>
    </row>
    <row r="1217" spans="1:14" x14ac:dyDescent="0.35">
      <c r="A1217">
        <v>1215</v>
      </c>
      <c r="B1217" t="s">
        <v>15</v>
      </c>
      <c r="C1217" t="s">
        <v>74</v>
      </c>
      <c r="D1217">
        <v>0.25</v>
      </c>
      <c r="E1217">
        <v>0.75</v>
      </c>
      <c r="F1217">
        <v>323.14999999999998</v>
      </c>
      <c r="G1217">
        <v>526</v>
      </c>
      <c r="H1217">
        <f t="shared" si="72"/>
        <v>-3.8031686005160639</v>
      </c>
      <c r="I1217">
        <v>2.23E-2</v>
      </c>
      <c r="J1217" t="str">
        <f t="shared" si="73"/>
        <v>CC[N+](CC)(CC)CC.[Cl-]CC(=O)CCC(=O)O</v>
      </c>
      <c r="K1217">
        <v>54</v>
      </c>
      <c r="M1217">
        <f t="shared" si="74"/>
        <v>0.83775464848239545</v>
      </c>
      <c r="N1217">
        <f t="shared" si="75"/>
        <v>-0.32717474150003872</v>
      </c>
    </row>
    <row r="1218" spans="1:14" x14ac:dyDescent="0.35">
      <c r="A1218">
        <v>1216</v>
      </c>
      <c r="B1218" t="s">
        <v>15</v>
      </c>
      <c r="C1218" t="s">
        <v>74</v>
      </c>
      <c r="D1218">
        <v>0.25</v>
      </c>
      <c r="E1218">
        <v>0.75</v>
      </c>
      <c r="F1218">
        <v>323.14999999999998</v>
      </c>
      <c r="G1218">
        <v>585.4</v>
      </c>
      <c r="H1218">
        <f t="shared" si="72"/>
        <v>-3.6969116258112007</v>
      </c>
      <c r="I1218">
        <v>2.4799999999999999E-2</v>
      </c>
      <c r="J1218" t="str">
        <f t="shared" si="73"/>
        <v>CC[N+](CC)(CC)CC.[Cl-]CC(=O)CCC(=O)O</v>
      </c>
      <c r="K1218">
        <v>54</v>
      </c>
      <c r="M1218">
        <f t="shared" si="74"/>
        <v>0.83775464848239545</v>
      </c>
      <c r="N1218">
        <f t="shared" si="75"/>
        <v>-0.29395318335180831</v>
      </c>
    </row>
    <row r="1219" spans="1:14" x14ac:dyDescent="0.35">
      <c r="A1219">
        <v>1217</v>
      </c>
      <c r="B1219" t="s">
        <v>15</v>
      </c>
      <c r="C1219" t="s">
        <v>74</v>
      </c>
      <c r="D1219">
        <v>0.25</v>
      </c>
      <c r="E1219">
        <v>0.75</v>
      </c>
      <c r="F1219">
        <v>333.15</v>
      </c>
      <c r="G1219">
        <v>84</v>
      </c>
      <c r="H1219">
        <f t="shared" ref="H1219:H1282" si="76">LN(I1219)</f>
        <v>-5.88</v>
      </c>
      <c r="I1219">
        <v>2.7947852750368437E-3</v>
      </c>
      <c r="J1219" t="str">
        <f t="shared" ref="J1219:J1282" si="77">_xlfn.CONCAT(B1219,C1219)</f>
        <v>CC[N+](CC)(CC)CC.[Cl-]CC(=O)CCC(=O)O</v>
      </c>
      <c r="K1219">
        <v>54</v>
      </c>
      <c r="M1219">
        <f t="shared" ref="M1219:M1282" si="78">(F1219-$L$3)/$L$2</f>
        <v>1.6214713250298407</v>
      </c>
      <c r="N1219">
        <f t="shared" ref="N1219:N1282" si="79">(G1219-$L$6)/$L$5</f>
        <v>-0.57437892839427884</v>
      </c>
    </row>
    <row r="1220" spans="1:14" x14ac:dyDescent="0.35">
      <c r="A1220">
        <v>1218</v>
      </c>
      <c r="B1220" t="s">
        <v>15</v>
      </c>
      <c r="C1220" t="s">
        <v>74</v>
      </c>
      <c r="D1220">
        <v>0.25</v>
      </c>
      <c r="E1220">
        <v>0.75</v>
      </c>
      <c r="F1220">
        <v>333.15</v>
      </c>
      <c r="G1220">
        <v>140.69999999999999</v>
      </c>
      <c r="H1220">
        <f t="shared" si="76"/>
        <v>-5.3</v>
      </c>
      <c r="I1220">
        <v>4.991593906910217E-3</v>
      </c>
      <c r="J1220" t="str">
        <f t="shared" si="77"/>
        <v>CC[N+](CC)(CC)CC.[Cl-]CC(=O)CCC(=O)O</v>
      </c>
      <c r="K1220">
        <v>54</v>
      </c>
      <c r="M1220">
        <f t="shared" si="78"/>
        <v>1.6214713250298407</v>
      </c>
      <c r="N1220">
        <f t="shared" si="79"/>
        <v>-0.54266744107096798</v>
      </c>
    </row>
    <row r="1221" spans="1:14" x14ac:dyDescent="0.35">
      <c r="A1221">
        <v>1219</v>
      </c>
      <c r="B1221" t="s">
        <v>15</v>
      </c>
      <c r="C1221" t="s">
        <v>74</v>
      </c>
      <c r="D1221">
        <v>0.25</v>
      </c>
      <c r="E1221">
        <v>0.75</v>
      </c>
      <c r="F1221">
        <v>333.15</v>
      </c>
      <c r="G1221">
        <v>228.8</v>
      </c>
      <c r="H1221">
        <f t="shared" si="76"/>
        <v>-4.78</v>
      </c>
      <c r="I1221">
        <v>8.3959989674914706E-3</v>
      </c>
      <c r="J1221" t="str">
        <f t="shared" si="77"/>
        <v>CC[N+](CC)(CC)CC.[Cl-]CC(=O)CCC(=O)O</v>
      </c>
      <c r="K1221">
        <v>54</v>
      </c>
      <c r="M1221">
        <f t="shared" si="78"/>
        <v>1.6214713250298407</v>
      </c>
      <c r="N1221">
        <f t="shared" si="79"/>
        <v>-0.49339438933933327</v>
      </c>
    </row>
    <row r="1222" spans="1:14" x14ac:dyDescent="0.35">
      <c r="A1222">
        <v>1220</v>
      </c>
      <c r="B1222" t="s">
        <v>15</v>
      </c>
      <c r="C1222" t="s">
        <v>74</v>
      </c>
      <c r="D1222">
        <v>0.25</v>
      </c>
      <c r="E1222">
        <v>0.75</v>
      </c>
      <c r="F1222">
        <v>333.15</v>
      </c>
      <c r="G1222">
        <v>331.2</v>
      </c>
      <c r="H1222">
        <f t="shared" si="76"/>
        <v>-4.41</v>
      </c>
      <c r="I1222">
        <v>1.2155178329914935E-2</v>
      </c>
      <c r="J1222" t="str">
        <f t="shared" si="77"/>
        <v>CC[N+](CC)(CC)CC.[Cl-]CC(=O)CCC(=O)O</v>
      </c>
      <c r="K1222">
        <v>54</v>
      </c>
      <c r="M1222">
        <f t="shared" si="78"/>
        <v>1.6214713250298407</v>
      </c>
      <c r="N1222">
        <f t="shared" si="79"/>
        <v>-0.43612355509053186</v>
      </c>
    </row>
    <row r="1223" spans="1:14" x14ac:dyDescent="0.35">
      <c r="A1223">
        <v>1221</v>
      </c>
      <c r="B1223" t="s">
        <v>15</v>
      </c>
      <c r="C1223" t="s">
        <v>74</v>
      </c>
      <c r="D1223">
        <v>0.25</v>
      </c>
      <c r="E1223">
        <v>0.75</v>
      </c>
      <c r="F1223">
        <v>333.15</v>
      </c>
      <c r="G1223">
        <v>429.2</v>
      </c>
      <c r="H1223">
        <f t="shared" si="76"/>
        <v>-4.154094566627875</v>
      </c>
      <c r="I1223">
        <v>1.5699999999999999E-2</v>
      </c>
      <c r="J1223" t="str">
        <f t="shared" si="77"/>
        <v>CC[N+](CC)(CC)CC.[Cl-]CC(=O)CCC(=O)O</v>
      </c>
      <c r="K1223">
        <v>54</v>
      </c>
      <c r="M1223">
        <f t="shared" si="78"/>
        <v>1.6214713250298407</v>
      </c>
      <c r="N1223">
        <f t="shared" si="79"/>
        <v>-0.38131357700085872</v>
      </c>
    </row>
    <row r="1224" spans="1:14" x14ac:dyDescent="0.35">
      <c r="A1224">
        <v>1222</v>
      </c>
      <c r="B1224" t="s">
        <v>15</v>
      </c>
      <c r="C1224" t="s">
        <v>74</v>
      </c>
      <c r="D1224">
        <v>0.25</v>
      </c>
      <c r="E1224">
        <v>0.75</v>
      </c>
      <c r="F1224">
        <v>333.15</v>
      </c>
      <c r="G1224">
        <v>529.20000000000005</v>
      </c>
      <c r="H1224">
        <f t="shared" si="76"/>
        <v>-3.9373408134124359</v>
      </c>
      <c r="I1224">
        <v>1.95E-2</v>
      </c>
      <c r="J1224" t="str">
        <f t="shared" si="77"/>
        <v>CC[N+](CC)(CC)CC.[Cl-]CC(=O)CCC(=O)O</v>
      </c>
      <c r="K1224">
        <v>54</v>
      </c>
      <c r="M1224">
        <f t="shared" si="78"/>
        <v>1.6214713250298407</v>
      </c>
      <c r="N1224">
        <f t="shared" si="79"/>
        <v>-0.32538502792976365</v>
      </c>
    </row>
    <row r="1225" spans="1:14" x14ac:dyDescent="0.35">
      <c r="A1225">
        <v>1223</v>
      </c>
      <c r="B1225" t="s">
        <v>15</v>
      </c>
      <c r="C1225" t="s">
        <v>74</v>
      </c>
      <c r="D1225">
        <v>0.25</v>
      </c>
      <c r="E1225">
        <v>0.75</v>
      </c>
      <c r="F1225">
        <v>333.15</v>
      </c>
      <c r="G1225">
        <v>583.29999999999995</v>
      </c>
      <c r="H1225">
        <f t="shared" si="76"/>
        <v>-3.8350619642920178</v>
      </c>
      <c r="I1225">
        <v>2.1600000000000001E-2</v>
      </c>
      <c r="J1225" t="str">
        <f t="shared" si="77"/>
        <v>CC[N+](CC)(CC)CC.[Cl-]CC(=O)CCC(=O)O</v>
      </c>
      <c r="K1225">
        <v>54</v>
      </c>
      <c r="M1225">
        <f t="shared" si="78"/>
        <v>1.6214713250298407</v>
      </c>
      <c r="N1225">
        <f t="shared" si="79"/>
        <v>-0.29512768288230129</v>
      </c>
    </row>
    <row r="1226" spans="1:14" x14ac:dyDescent="0.35">
      <c r="A1226">
        <v>1224</v>
      </c>
      <c r="B1226" t="s">
        <v>14</v>
      </c>
      <c r="C1226" t="s">
        <v>54</v>
      </c>
      <c r="D1226">
        <v>0.25</v>
      </c>
      <c r="E1226">
        <v>0.75</v>
      </c>
      <c r="F1226">
        <v>303.14999999999998</v>
      </c>
      <c r="G1226">
        <v>68.7</v>
      </c>
      <c r="H1226">
        <f t="shared" si="76"/>
        <v>-5.5</v>
      </c>
      <c r="I1226">
        <v>4.0867714384640666E-3</v>
      </c>
      <c r="J1226" t="str">
        <f t="shared" si="77"/>
        <v>CC[N+](CC)(CC)CC.[Br-]CC(=O)CCC(=O)O</v>
      </c>
      <c r="K1226">
        <v>52</v>
      </c>
      <c r="M1226">
        <f t="shared" si="78"/>
        <v>-0.72967870461249518</v>
      </c>
      <c r="N1226">
        <f t="shared" si="79"/>
        <v>-0.58293599640215643</v>
      </c>
    </row>
    <row r="1227" spans="1:14" x14ac:dyDescent="0.35">
      <c r="A1227">
        <v>1225</v>
      </c>
      <c r="B1227" t="s">
        <v>14</v>
      </c>
      <c r="C1227" t="s">
        <v>54</v>
      </c>
      <c r="D1227">
        <v>0.25</v>
      </c>
      <c r="E1227">
        <v>0.75</v>
      </c>
      <c r="F1227">
        <v>303.14999999999998</v>
      </c>
      <c r="G1227">
        <v>122.4</v>
      </c>
      <c r="H1227">
        <f t="shared" si="76"/>
        <v>-4.92</v>
      </c>
      <c r="I1227">
        <v>7.2991308467885829E-3</v>
      </c>
      <c r="J1227" t="str">
        <f t="shared" si="77"/>
        <v>CC[N+](CC)(CC)CC.[Br-]CC(=O)CCC(=O)O</v>
      </c>
      <c r="K1227">
        <v>52</v>
      </c>
      <c r="M1227">
        <f t="shared" si="78"/>
        <v>-0.72967870461249518</v>
      </c>
      <c r="N1227">
        <f t="shared" si="79"/>
        <v>-0.55290236555097838</v>
      </c>
    </row>
    <row r="1228" spans="1:14" x14ac:dyDescent="0.35">
      <c r="A1228">
        <v>1226</v>
      </c>
      <c r="B1228" t="s">
        <v>14</v>
      </c>
      <c r="C1228" t="s">
        <v>54</v>
      </c>
      <c r="D1228">
        <v>0.25</v>
      </c>
      <c r="E1228">
        <v>0.75</v>
      </c>
      <c r="F1228">
        <v>303.14999999999998</v>
      </c>
      <c r="G1228">
        <v>210.3</v>
      </c>
      <c r="H1228">
        <f t="shared" si="76"/>
        <v>-4.41</v>
      </c>
      <c r="I1228">
        <v>1.2155178329914935E-2</v>
      </c>
      <c r="J1228" t="str">
        <f t="shared" si="77"/>
        <v>CC[N+](CC)(CC)CC.[Br-]CC(=O)CCC(=O)O</v>
      </c>
      <c r="K1228">
        <v>52</v>
      </c>
      <c r="M1228">
        <f t="shared" si="78"/>
        <v>-0.72967870461249518</v>
      </c>
      <c r="N1228">
        <f t="shared" si="79"/>
        <v>-0.50374117091748583</v>
      </c>
    </row>
    <row r="1229" spans="1:14" x14ac:dyDescent="0.35">
      <c r="A1229">
        <v>1227</v>
      </c>
      <c r="B1229" t="s">
        <v>14</v>
      </c>
      <c r="C1229" t="s">
        <v>54</v>
      </c>
      <c r="D1229">
        <v>0.25</v>
      </c>
      <c r="E1229">
        <v>0.75</v>
      </c>
      <c r="F1229">
        <v>303.14999999999998</v>
      </c>
      <c r="G1229">
        <v>305.10000000000002</v>
      </c>
      <c r="H1229">
        <f t="shared" si="76"/>
        <v>-4.0341906394023539</v>
      </c>
      <c r="I1229">
        <v>1.77E-2</v>
      </c>
      <c r="J1229" t="str">
        <f t="shared" si="77"/>
        <v>CC[N+](CC)(CC)CC.[Br-]CC(=O)CCC(=O)O</v>
      </c>
      <c r="K1229">
        <v>52</v>
      </c>
      <c r="M1229">
        <f t="shared" si="78"/>
        <v>-0.72967870461249518</v>
      </c>
      <c r="N1229">
        <f t="shared" si="79"/>
        <v>-0.45072090639808771</v>
      </c>
    </row>
    <row r="1230" spans="1:14" x14ac:dyDescent="0.35">
      <c r="A1230">
        <v>1228</v>
      </c>
      <c r="B1230" t="s">
        <v>14</v>
      </c>
      <c r="C1230" t="s">
        <v>54</v>
      </c>
      <c r="D1230">
        <v>0.25</v>
      </c>
      <c r="E1230">
        <v>0.75</v>
      </c>
      <c r="F1230">
        <v>303.14999999999998</v>
      </c>
      <c r="G1230">
        <v>402.4</v>
      </c>
      <c r="H1230">
        <f t="shared" si="76"/>
        <v>-3.7636030003098728</v>
      </c>
      <c r="I1230">
        <v>2.3199999999999998E-2</v>
      </c>
      <c r="J1230" t="str">
        <f t="shared" si="77"/>
        <v>CC[N+](CC)(CC)CC.[Br-]CC(=O)CCC(=O)O</v>
      </c>
      <c r="K1230">
        <v>52</v>
      </c>
      <c r="M1230">
        <f t="shared" si="78"/>
        <v>-0.72967870461249518</v>
      </c>
      <c r="N1230">
        <f t="shared" si="79"/>
        <v>-0.39630242815191224</v>
      </c>
    </row>
    <row r="1231" spans="1:14" x14ac:dyDescent="0.35">
      <c r="A1231">
        <v>1229</v>
      </c>
      <c r="B1231" t="s">
        <v>14</v>
      </c>
      <c r="C1231" t="s">
        <v>54</v>
      </c>
      <c r="D1231">
        <v>0.25</v>
      </c>
      <c r="E1231">
        <v>0.75</v>
      </c>
      <c r="F1231">
        <v>303.14999999999998</v>
      </c>
      <c r="G1231">
        <v>500.5</v>
      </c>
      <c r="H1231">
        <f t="shared" si="76"/>
        <v>-3.5473798918402371</v>
      </c>
      <c r="I1231">
        <v>2.8799999999999999E-2</v>
      </c>
      <c r="J1231" t="str">
        <f t="shared" si="77"/>
        <v>CC[N+](CC)(CC)CC.[Br-]CC(=O)CCC(=O)O</v>
      </c>
      <c r="K1231">
        <v>52</v>
      </c>
      <c r="M1231">
        <f t="shared" si="78"/>
        <v>-0.72967870461249518</v>
      </c>
      <c r="N1231">
        <f t="shared" si="79"/>
        <v>-0.341436521513168</v>
      </c>
    </row>
    <row r="1232" spans="1:14" x14ac:dyDescent="0.35">
      <c r="A1232">
        <v>1230</v>
      </c>
      <c r="B1232" t="s">
        <v>14</v>
      </c>
      <c r="C1232" t="s">
        <v>54</v>
      </c>
      <c r="D1232">
        <v>0.25</v>
      </c>
      <c r="E1232">
        <v>0.75</v>
      </c>
      <c r="F1232">
        <v>303.14999999999998</v>
      </c>
      <c r="G1232">
        <v>564.4</v>
      </c>
      <c r="H1232">
        <f t="shared" si="76"/>
        <v>-3.43</v>
      </c>
      <c r="I1232">
        <v>3.238694077290704E-2</v>
      </c>
      <c r="J1232" t="str">
        <f t="shared" si="77"/>
        <v>CC[N+](CC)(CC)CC.[Br-]CC(=O)CCC(=O)O</v>
      </c>
      <c r="K1232">
        <v>52</v>
      </c>
      <c r="M1232">
        <f t="shared" si="78"/>
        <v>-0.72967870461249518</v>
      </c>
      <c r="N1232">
        <f t="shared" si="79"/>
        <v>-0.30569817865673826</v>
      </c>
    </row>
    <row r="1233" spans="1:14" x14ac:dyDescent="0.35">
      <c r="A1233">
        <v>1231</v>
      </c>
      <c r="B1233" t="s">
        <v>14</v>
      </c>
      <c r="C1233" t="s">
        <v>54</v>
      </c>
      <c r="D1233">
        <v>0.25</v>
      </c>
      <c r="E1233">
        <v>0.75</v>
      </c>
      <c r="F1233">
        <v>313.14999999999998</v>
      </c>
      <c r="G1233">
        <v>84.2</v>
      </c>
      <c r="H1233">
        <f t="shared" si="76"/>
        <v>-5.38</v>
      </c>
      <c r="I1233">
        <v>4.6078219299927519E-3</v>
      </c>
      <c r="J1233" t="str">
        <f t="shared" si="77"/>
        <v>CC[N+](CC)(CC)CC.[Br-]CC(=O)CCC(=O)O</v>
      </c>
      <c r="K1233">
        <v>52</v>
      </c>
      <c r="M1233">
        <f t="shared" si="78"/>
        <v>5.4037971934950142E-2</v>
      </c>
      <c r="N1233">
        <f t="shared" si="79"/>
        <v>-0.57426707129613663</v>
      </c>
    </row>
    <row r="1234" spans="1:14" x14ac:dyDescent="0.35">
      <c r="A1234">
        <v>1232</v>
      </c>
      <c r="B1234" t="s">
        <v>14</v>
      </c>
      <c r="C1234" t="s">
        <v>54</v>
      </c>
      <c r="D1234">
        <v>0.25</v>
      </c>
      <c r="E1234">
        <v>0.75</v>
      </c>
      <c r="F1234">
        <v>313.14999999999998</v>
      </c>
      <c r="G1234">
        <v>139.1</v>
      </c>
      <c r="H1234">
        <f t="shared" si="76"/>
        <v>-4.95</v>
      </c>
      <c r="I1234">
        <v>7.0834089290521185E-3</v>
      </c>
      <c r="J1234" t="str">
        <f t="shared" si="77"/>
        <v>CC[N+](CC)(CC)CC.[Br-]CC(=O)CCC(=O)O</v>
      </c>
      <c r="K1234">
        <v>52</v>
      </c>
      <c r="M1234">
        <f t="shared" si="78"/>
        <v>5.4037971934950142E-2</v>
      </c>
      <c r="N1234">
        <f t="shared" si="79"/>
        <v>-0.54356229785610544</v>
      </c>
    </row>
    <row r="1235" spans="1:14" x14ac:dyDescent="0.35">
      <c r="A1235">
        <v>1233</v>
      </c>
      <c r="B1235" t="s">
        <v>14</v>
      </c>
      <c r="C1235" t="s">
        <v>54</v>
      </c>
      <c r="D1235">
        <v>0.25</v>
      </c>
      <c r="E1235">
        <v>0.75</v>
      </c>
      <c r="F1235">
        <v>313.14999999999998</v>
      </c>
      <c r="G1235">
        <v>230.1</v>
      </c>
      <c r="H1235">
        <f t="shared" si="76"/>
        <v>-4.47</v>
      </c>
      <c r="I1235">
        <v>1.1447315850505711E-2</v>
      </c>
      <c r="J1235" t="str">
        <f t="shared" si="77"/>
        <v>CC[N+](CC)(CC)CC.[Br-]CC(=O)CCC(=O)O</v>
      </c>
      <c r="K1235">
        <v>52</v>
      </c>
      <c r="M1235">
        <f t="shared" si="78"/>
        <v>5.4037971934950142E-2</v>
      </c>
      <c r="N1235">
        <f t="shared" si="79"/>
        <v>-0.49266731820140897</v>
      </c>
    </row>
    <row r="1236" spans="1:14" x14ac:dyDescent="0.35">
      <c r="A1236">
        <v>1234</v>
      </c>
      <c r="B1236" t="s">
        <v>14</v>
      </c>
      <c r="C1236" t="s">
        <v>54</v>
      </c>
      <c r="D1236">
        <v>0.25</v>
      </c>
      <c r="E1236">
        <v>0.75</v>
      </c>
      <c r="F1236">
        <v>313.14999999999998</v>
      </c>
      <c r="G1236">
        <v>329.1</v>
      </c>
      <c r="H1236">
        <f t="shared" si="76"/>
        <v>-4.13</v>
      </c>
      <c r="I1236">
        <v>1.6082878822588433E-2</v>
      </c>
      <c r="J1236" t="str">
        <f t="shared" si="77"/>
        <v>CC[N+](CC)(CC)CC.[Br-]CC(=O)CCC(=O)O</v>
      </c>
      <c r="K1236">
        <v>52</v>
      </c>
      <c r="M1236">
        <f t="shared" si="78"/>
        <v>5.4037971934950142E-2</v>
      </c>
      <c r="N1236">
        <f t="shared" si="79"/>
        <v>-0.43729805462102489</v>
      </c>
    </row>
    <row r="1237" spans="1:14" x14ac:dyDescent="0.35">
      <c r="A1237">
        <v>1235</v>
      </c>
      <c r="B1237" t="s">
        <v>14</v>
      </c>
      <c r="C1237" t="s">
        <v>54</v>
      </c>
      <c r="D1237">
        <v>0.25</v>
      </c>
      <c r="E1237">
        <v>0.75</v>
      </c>
      <c r="F1237">
        <v>313.14999999999998</v>
      </c>
      <c r="G1237">
        <v>428.9</v>
      </c>
      <c r="H1237">
        <f t="shared" si="76"/>
        <v>-3.88</v>
      </c>
      <c r="I1237">
        <v>2.0650825181712566E-2</v>
      </c>
      <c r="J1237" t="str">
        <f t="shared" si="77"/>
        <v>CC[N+](CC)(CC)CC.[Br-]CC(=O)CCC(=O)O</v>
      </c>
      <c r="K1237">
        <v>52</v>
      </c>
      <c r="M1237">
        <f t="shared" si="78"/>
        <v>5.4037971934950142E-2</v>
      </c>
      <c r="N1237">
        <f t="shared" si="79"/>
        <v>-0.38148136264807203</v>
      </c>
    </row>
    <row r="1238" spans="1:14" x14ac:dyDescent="0.35">
      <c r="A1238">
        <v>1236</v>
      </c>
      <c r="B1238" t="s">
        <v>14</v>
      </c>
      <c r="C1238" t="s">
        <v>54</v>
      </c>
      <c r="D1238">
        <v>0.25</v>
      </c>
      <c r="E1238">
        <v>0.75</v>
      </c>
      <c r="F1238">
        <v>313.14999999999998</v>
      </c>
      <c r="G1238">
        <v>525.9</v>
      </c>
      <c r="H1238">
        <f t="shared" si="76"/>
        <v>-3.69</v>
      </c>
      <c r="I1238">
        <v>2.4972002042276155E-2</v>
      </c>
      <c r="J1238" t="str">
        <f t="shared" si="77"/>
        <v>CC[N+](CC)(CC)CC.[Br-]CC(=O)CCC(=O)O</v>
      </c>
      <c r="K1238">
        <v>52</v>
      </c>
      <c r="M1238">
        <f t="shared" si="78"/>
        <v>5.4037971934950142E-2</v>
      </c>
      <c r="N1238">
        <f t="shared" si="79"/>
        <v>-0.32723067004910983</v>
      </c>
    </row>
    <row r="1239" spans="1:14" x14ac:dyDescent="0.35">
      <c r="A1239">
        <v>1237</v>
      </c>
      <c r="B1239" t="s">
        <v>14</v>
      </c>
      <c r="C1239" t="s">
        <v>54</v>
      </c>
      <c r="D1239">
        <v>0.25</v>
      </c>
      <c r="E1239">
        <v>0.75</v>
      </c>
      <c r="F1239">
        <v>313.14999999999998</v>
      </c>
      <c r="G1239">
        <v>587.70000000000005</v>
      </c>
      <c r="H1239">
        <f t="shared" si="76"/>
        <v>-3.58</v>
      </c>
      <c r="I1239">
        <v>2.7875698255247015E-2</v>
      </c>
      <c r="J1239" t="str">
        <f t="shared" si="77"/>
        <v>CC[N+](CC)(CC)CC.[Br-]CC(=O)CCC(=O)O</v>
      </c>
      <c r="K1239">
        <v>52</v>
      </c>
      <c r="M1239">
        <f t="shared" si="78"/>
        <v>5.4037971934950142E-2</v>
      </c>
      <c r="N1239">
        <f t="shared" si="79"/>
        <v>-0.29266682672317307</v>
      </c>
    </row>
    <row r="1240" spans="1:14" x14ac:dyDescent="0.35">
      <c r="A1240">
        <v>1238</v>
      </c>
      <c r="B1240" t="s">
        <v>14</v>
      </c>
      <c r="C1240" t="s">
        <v>54</v>
      </c>
      <c r="D1240">
        <v>0.25</v>
      </c>
      <c r="E1240">
        <v>0.75</v>
      </c>
      <c r="F1240">
        <v>323.14999999999998</v>
      </c>
      <c r="G1240">
        <v>83.1</v>
      </c>
      <c r="H1240">
        <f t="shared" si="76"/>
        <v>-5.71</v>
      </c>
      <c r="I1240">
        <v>3.3126725448998926E-3</v>
      </c>
      <c r="J1240" t="str">
        <f t="shared" si="77"/>
        <v>CC[N+](CC)(CC)CC.[Br-]CC(=O)CCC(=O)O</v>
      </c>
      <c r="K1240">
        <v>52</v>
      </c>
      <c r="M1240">
        <f t="shared" si="78"/>
        <v>0.83775464848239545</v>
      </c>
      <c r="N1240">
        <f t="shared" si="79"/>
        <v>-0.57488228533591879</v>
      </c>
    </row>
    <row r="1241" spans="1:14" x14ac:dyDescent="0.35">
      <c r="A1241">
        <v>1239</v>
      </c>
      <c r="B1241" t="s">
        <v>14</v>
      </c>
      <c r="C1241" t="s">
        <v>54</v>
      </c>
      <c r="D1241">
        <v>0.25</v>
      </c>
      <c r="E1241">
        <v>0.75</v>
      </c>
      <c r="F1241">
        <v>323.14999999999998</v>
      </c>
      <c r="G1241">
        <v>138.5</v>
      </c>
      <c r="H1241">
        <f t="shared" si="76"/>
        <v>-5.2</v>
      </c>
      <c r="I1241">
        <v>5.5165644207607716E-3</v>
      </c>
      <c r="J1241" t="str">
        <f t="shared" si="77"/>
        <v>CC[N+](CC)(CC)CC.[Br-]CC(=O)CCC(=O)O</v>
      </c>
      <c r="K1241">
        <v>52</v>
      </c>
      <c r="M1241">
        <f t="shared" si="78"/>
        <v>0.83775464848239545</v>
      </c>
      <c r="N1241">
        <f t="shared" si="79"/>
        <v>-0.54389786915053207</v>
      </c>
    </row>
    <row r="1242" spans="1:14" x14ac:dyDescent="0.35">
      <c r="A1242">
        <v>1240</v>
      </c>
      <c r="B1242" t="s">
        <v>14</v>
      </c>
      <c r="C1242" t="s">
        <v>54</v>
      </c>
      <c r="D1242">
        <v>0.25</v>
      </c>
      <c r="E1242">
        <v>0.75</v>
      </c>
      <c r="F1242">
        <v>323.14999999999998</v>
      </c>
      <c r="G1242">
        <v>236.2</v>
      </c>
      <c r="H1242">
        <f t="shared" si="76"/>
        <v>-4.67</v>
      </c>
      <c r="I1242">
        <v>9.3722695270060576E-3</v>
      </c>
      <c r="J1242" t="str">
        <f t="shared" si="77"/>
        <v>CC[N+](CC)(CC)CC.[Br-]CC(=O)CCC(=O)O</v>
      </c>
      <c r="K1242">
        <v>52</v>
      </c>
      <c r="M1242">
        <f t="shared" si="78"/>
        <v>0.83775464848239545</v>
      </c>
      <c r="N1242">
        <f t="shared" si="79"/>
        <v>-0.48925567670807218</v>
      </c>
    </row>
    <row r="1243" spans="1:14" x14ac:dyDescent="0.35">
      <c r="A1243">
        <v>1241</v>
      </c>
      <c r="B1243" t="s">
        <v>14</v>
      </c>
      <c r="C1243" t="s">
        <v>54</v>
      </c>
      <c r="D1243">
        <v>0.25</v>
      </c>
      <c r="E1243">
        <v>0.75</v>
      </c>
      <c r="F1243">
        <v>323.14999999999998</v>
      </c>
      <c r="G1243">
        <v>323.8</v>
      </c>
      <c r="H1243">
        <f t="shared" si="76"/>
        <v>-4.3499999999999996</v>
      </c>
      <c r="I1243">
        <v>1.2906812580479873E-2</v>
      </c>
      <c r="J1243" t="str">
        <f t="shared" si="77"/>
        <v>CC[N+](CC)(CC)CC.[Br-]CC(=O)CCC(=O)O</v>
      </c>
      <c r="K1243">
        <v>52</v>
      </c>
      <c r="M1243">
        <f t="shared" si="78"/>
        <v>0.83775464848239545</v>
      </c>
      <c r="N1243">
        <f t="shared" si="79"/>
        <v>-0.44026226772179294</v>
      </c>
    </row>
    <row r="1244" spans="1:14" x14ac:dyDescent="0.35">
      <c r="A1244">
        <v>1242</v>
      </c>
      <c r="B1244" t="s">
        <v>14</v>
      </c>
      <c r="C1244" t="s">
        <v>54</v>
      </c>
      <c r="D1244">
        <v>0.25</v>
      </c>
      <c r="E1244">
        <v>0.75</v>
      </c>
      <c r="F1244">
        <v>323.14999999999998</v>
      </c>
      <c r="G1244">
        <v>423.9</v>
      </c>
      <c r="H1244">
        <f t="shared" si="76"/>
        <v>-4.08</v>
      </c>
      <c r="I1244">
        <v>1.6907465652705279E-2</v>
      </c>
      <c r="J1244" t="str">
        <f t="shared" si="77"/>
        <v>CC[N+](CC)(CC)CC.[Br-]CC(=O)CCC(=O)O</v>
      </c>
      <c r="K1244">
        <v>52</v>
      </c>
      <c r="M1244">
        <f t="shared" si="78"/>
        <v>0.83775464848239545</v>
      </c>
      <c r="N1244">
        <f t="shared" si="79"/>
        <v>-0.38427779010162683</v>
      </c>
    </row>
    <row r="1245" spans="1:14" x14ac:dyDescent="0.35">
      <c r="A1245">
        <v>1243</v>
      </c>
      <c r="B1245" t="s">
        <v>14</v>
      </c>
      <c r="C1245" t="s">
        <v>54</v>
      </c>
      <c r="D1245">
        <v>0.25</v>
      </c>
      <c r="E1245">
        <v>0.75</v>
      </c>
      <c r="F1245">
        <v>323.14999999999998</v>
      </c>
      <c r="G1245">
        <v>528.29999999999995</v>
      </c>
      <c r="H1245">
        <f t="shared" si="76"/>
        <v>-3.8728022922748648</v>
      </c>
      <c r="I1245">
        <v>2.0799999999999999E-2</v>
      </c>
      <c r="J1245" t="str">
        <f t="shared" si="77"/>
        <v>CC[N+](CC)(CC)CC.[Br-]CC(=O)CCC(=O)O</v>
      </c>
      <c r="K1245">
        <v>52</v>
      </c>
      <c r="M1245">
        <f t="shared" si="78"/>
        <v>0.83775464848239545</v>
      </c>
      <c r="N1245">
        <f t="shared" si="79"/>
        <v>-0.32588838487140359</v>
      </c>
    </row>
    <row r="1246" spans="1:14" x14ac:dyDescent="0.35">
      <c r="A1246">
        <v>1244</v>
      </c>
      <c r="B1246" t="s">
        <v>14</v>
      </c>
      <c r="C1246" t="s">
        <v>54</v>
      </c>
      <c r="D1246">
        <v>0.25</v>
      </c>
      <c r="E1246">
        <v>0.75</v>
      </c>
      <c r="F1246">
        <v>323.14999999999998</v>
      </c>
      <c r="G1246">
        <v>578.79999999999995</v>
      </c>
      <c r="H1246">
        <f t="shared" si="76"/>
        <v>-3.7722610630529876</v>
      </c>
      <c r="I1246">
        <v>2.3E-2</v>
      </c>
      <c r="J1246" t="str">
        <f t="shared" si="77"/>
        <v>CC[N+](CC)(CC)CC.[Br-]CC(=O)CCC(=O)O</v>
      </c>
      <c r="K1246">
        <v>52</v>
      </c>
      <c r="M1246">
        <f t="shared" si="78"/>
        <v>0.83775464848239545</v>
      </c>
      <c r="N1246">
        <f t="shared" si="79"/>
        <v>-0.29764446759050056</v>
      </c>
    </row>
    <row r="1247" spans="1:14" x14ac:dyDescent="0.35">
      <c r="A1247">
        <v>1245</v>
      </c>
      <c r="B1247" t="s">
        <v>14</v>
      </c>
      <c r="C1247" t="s">
        <v>54</v>
      </c>
      <c r="D1247">
        <v>0.25</v>
      </c>
      <c r="E1247">
        <v>0.75</v>
      </c>
      <c r="F1247">
        <v>333.15</v>
      </c>
      <c r="G1247">
        <v>81.8</v>
      </c>
      <c r="H1247">
        <f t="shared" si="76"/>
        <v>-5.81</v>
      </c>
      <c r="I1247">
        <v>2.9974300723258312E-3</v>
      </c>
      <c r="J1247" t="str">
        <f t="shared" si="77"/>
        <v>CC[N+](CC)(CC)CC.[Br-]CC(=O)CCC(=O)O</v>
      </c>
      <c r="K1247">
        <v>52</v>
      </c>
      <c r="M1247">
        <f t="shared" si="78"/>
        <v>1.6214713250298407</v>
      </c>
      <c r="N1247">
        <f t="shared" si="79"/>
        <v>-0.57560935647384304</v>
      </c>
    </row>
    <row r="1248" spans="1:14" x14ac:dyDescent="0.35">
      <c r="A1248">
        <v>1246</v>
      </c>
      <c r="B1248" t="s">
        <v>14</v>
      </c>
      <c r="C1248" t="s">
        <v>54</v>
      </c>
      <c r="D1248">
        <v>0.25</v>
      </c>
      <c r="E1248">
        <v>0.75</v>
      </c>
      <c r="F1248">
        <v>333.15</v>
      </c>
      <c r="G1248">
        <v>141</v>
      </c>
      <c r="H1248">
        <f t="shared" si="76"/>
        <v>-5.28</v>
      </c>
      <c r="I1248">
        <v>5.0924307926991904E-3</v>
      </c>
      <c r="J1248" t="str">
        <f t="shared" si="77"/>
        <v>CC[N+](CC)(CC)CC.[Br-]CC(=O)CCC(=O)O</v>
      </c>
      <c r="K1248">
        <v>52</v>
      </c>
      <c r="M1248">
        <f t="shared" si="78"/>
        <v>1.6214713250298407</v>
      </c>
      <c r="N1248">
        <f t="shared" si="79"/>
        <v>-0.54249965542375467</v>
      </c>
    </row>
    <row r="1249" spans="1:14" x14ac:dyDescent="0.35">
      <c r="A1249">
        <v>1247</v>
      </c>
      <c r="B1249" t="s">
        <v>14</v>
      </c>
      <c r="C1249" t="s">
        <v>54</v>
      </c>
      <c r="D1249">
        <v>0.25</v>
      </c>
      <c r="E1249">
        <v>0.75</v>
      </c>
      <c r="F1249">
        <v>333.15</v>
      </c>
      <c r="G1249">
        <v>233.4</v>
      </c>
      <c r="H1249">
        <f t="shared" si="76"/>
        <v>-4.79</v>
      </c>
      <c r="I1249">
        <v>8.3124573819231187E-3</v>
      </c>
      <c r="J1249" t="str">
        <f t="shared" si="77"/>
        <v>CC[N+](CC)(CC)CC.[Br-]CC(=O)CCC(=O)O</v>
      </c>
      <c r="K1249">
        <v>52</v>
      </c>
      <c r="M1249">
        <f t="shared" si="78"/>
        <v>1.6214713250298407</v>
      </c>
      <c r="N1249">
        <f t="shared" si="79"/>
        <v>-0.4908216760820629</v>
      </c>
    </row>
    <row r="1250" spans="1:14" x14ac:dyDescent="0.35">
      <c r="A1250">
        <v>1248</v>
      </c>
      <c r="B1250" t="s">
        <v>14</v>
      </c>
      <c r="C1250" t="s">
        <v>54</v>
      </c>
      <c r="D1250">
        <v>0.25</v>
      </c>
      <c r="E1250">
        <v>0.75</v>
      </c>
      <c r="F1250">
        <v>333.15</v>
      </c>
      <c r="G1250">
        <v>327.9</v>
      </c>
      <c r="H1250">
        <f t="shared" si="76"/>
        <v>-4.47</v>
      </c>
      <c r="I1250">
        <v>1.1447315850505711E-2</v>
      </c>
      <c r="J1250" t="str">
        <f t="shared" si="77"/>
        <v>CC[N+](CC)(CC)CC.[Br-]CC(=O)CCC(=O)O</v>
      </c>
      <c r="K1250">
        <v>52</v>
      </c>
      <c r="M1250">
        <f t="shared" si="78"/>
        <v>1.6214713250298407</v>
      </c>
      <c r="N1250">
        <f t="shared" si="79"/>
        <v>-0.43796919720987804</v>
      </c>
    </row>
    <row r="1251" spans="1:14" x14ac:dyDescent="0.35">
      <c r="A1251">
        <v>1249</v>
      </c>
      <c r="B1251" t="s">
        <v>14</v>
      </c>
      <c r="C1251" t="s">
        <v>54</v>
      </c>
      <c r="D1251">
        <v>0.25</v>
      </c>
      <c r="E1251">
        <v>0.75</v>
      </c>
      <c r="F1251">
        <v>333.15</v>
      </c>
      <c r="G1251">
        <v>429.6</v>
      </c>
      <c r="H1251">
        <f t="shared" si="76"/>
        <v>-4.1900000000000004</v>
      </c>
      <c r="I1251">
        <v>1.514628487304698E-2</v>
      </c>
      <c r="J1251" t="str">
        <f t="shared" si="77"/>
        <v>CC[N+](CC)(CC)CC.[Br-]CC(=O)CCC(=O)O</v>
      </c>
      <c r="K1251">
        <v>52</v>
      </c>
      <c r="M1251">
        <f t="shared" si="78"/>
        <v>1.6214713250298407</v>
      </c>
      <c r="N1251">
        <f t="shared" si="79"/>
        <v>-0.38108986280457435</v>
      </c>
    </row>
    <row r="1252" spans="1:14" x14ac:dyDescent="0.35">
      <c r="A1252">
        <v>1250</v>
      </c>
      <c r="B1252" t="s">
        <v>14</v>
      </c>
      <c r="C1252" t="s">
        <v>54</v>
      </c>
      <c r="D1252">
        <v>0.25</v>
      </c>
      <c r="E1252">
        <v>0.75</v>
      </c>
      <c r="F1252">
        <v>333.15</v>
      </c>
      <c r="G1252">
        <v>529.4</v>
      </c>
      <c r="H1252">
        <f t="shared" si="76"/>
        <v>-3.99</v>
      </c>
      <c r="I1252">
        <v>1.8499714119819242E-2</v>
      </c>
      <c r="J1252" t="str">
        <f t="shared" si="77"/>
        <v>CC[N+](CC)(CC)CC.[Br-]CC(=O)CCC(=O)O</v>
      </c>
      <c r="K1252">
        <v>52</v>
      </c>
      <c r="M1252">
        <f t="shared" si="78"/>
        <v>1.6214713250298407</v>
      </c>
      <c r="N1252">
        <f t="shared" si="79"/>
        <v>-0.32527317083162149</v>
      </c>
    </row>
    <row r="1253" spans="1:14" x14ac:dyDescent="0.35">
      <c r="A1253">
        <v>1251</v>
      </c>
      <c r="B1253" t="s">
        <v>14</v>
      </c>
      <c r="C1253" t="s">
        <v>54</v>
      </c>
      <c r="D1253">
        <v>0.25</v>
      </c>
      <c r="E1253">
        <v>0.75</v>
      </c>
      <c r="F1253">
        <v>333.15</v>
      </c>
      <c r="G1253">
        <v>587.79999999999995</v>
      </c>
      <c r="H1253">
        <f t="shared" si="76"/>
        <v>-3.8971343929343956</v>
      </c>
      <c r="I1253">
        <v>2.0299999999999999E-2</v>
      </c>
      <c r="J1253" t="str">
        <f t="shared" si="77"/>
        <v>CC[N+](CC)(CC)CC.[Br-]CC(=O)CCC(=O)O</v>
      </c>
      <c r="K1253">
        <v>52</v>
      </c>
      <c r="M1253">
        <f t="shared" si="78"/>
        <v>1.6214713250298407</v>
      </c>
      <c r="N1253">
        <f t="shared" si="79"/>
        <v>-0.29261089817410202</v>
      </c>
    </row>
    <row r="1254" spans="1:14" x14ac:dyDescent="0.35">
      <c r="A1254">
        <v>1252</v>
      </c>
      <c r="B1254" t="s">
        <v>12</v>
      </c>
      <c r="C1254" t="s">
        <v>74</v>
      </c>
      <c r="D1254">
        <v>0.25</v>
      </c>
      <c r="E1254">
        <v>0.75</v>
      </c>
      <c r="F1254">
        <v>303.14999999999998</v>
      </c>
      <c r="G1254">
        <v>63.2</v>
      </c>
      <c r="H1254">
        <f t="shared" si="76"/>
        <v>-5.24</v>
      </c>
      <c r="I1254">
        <v>5.3002568358704021E-3</v>
      </c>
      <c r="J1254" t="str">
        <f t="shared" si="77"/>
        <v>CCCC[N+](CCCC)(CCCC)CCCC.[Cl-]CC(=O)CCC(=O)O</v>
      </c>
      <c r="K1254">
        <v>36</v>
      </c>
      <c r="M1254">
        <f t="shared" si="78"/>
        <v>-0.72967870461249518</v>
      </c>
      <c r="N1254">
        <f t="shared" si="79"/>
        <v>-0.58601206660106664</v>
      </c>
    </row>
    <row r="1255" spans="1:14" x14ac:dyDescent="0.35">
      <c r="A1255">
        <v>1253</v>
      </c>
      <c r="B1255" t="s">
        <v>12</v>
      </c>
      <c r="C1255" t="s">
        <v>74</v>
      </c>
      <c r="D1255">
        <v>0.25</v>
      </c>
      <c r="E1255">
        <v>0.75</v>
      </c>
      <c r="F1255">
        <v>303.14999999999998</v>
      </c>
      <c r="G1255">
        <v>118.8</v>
      </c>
      <c r="H1255">
        <f t="shared" si="76"/>
        <v>-4.62</v>
      </c>
      <c r="I1255">
        <v>9.8527960611872571E-3</v>
      </c>
      <c r="J1255" t="str">
        <f t="shared" si="77"/>
        <v>CCCC[N+](CCCC)(CCCC)CCCC.[Cl-]CC(=O)CCC(=O)O</v>
      </c>
      <c r="K1255">
        <v>36</v>
      </c>
      <c r="M1255">
        <f t="shared" si="78"/>
        <v>-0.72967870461249518</v>
      </c>
      <c r="N1255">
        <f t="shared" si="79"/>
        <v>-0.55491579331753782</v>
      </c>
    </row>
    <row r="1256" spans="1:14" x14ac:dyDescent="0.35">
      <c r="A1256">
        <v>1254</v>
      </c>
      <c r="B1256" t="s">
        <v>12</v>
      </c>
      <c r="C1256" t="s">
        <v>74</v>
      </c>
      <c r="D1256">
        <v>0.25</v>
      </c>
      <c r="E1256">
        <v>0.75</v>
      </c>
      <c r="F1256">
        <v>303.14999999999998</v>
      </c>
      <c r="G1256">
        <v>200.6</v>
      </c>
      <c r="H1256">
        <f t="shared" si="76"/>
        <v>-4.1165901711694204</v>
      </c>
      <c r="I1256">
        <v>1.6299999999999999E-2</v>
      </c>
      <c r="J1256" t="str">
        <f t="shared" si="77"/>
        <v>CCCC[N+](CCCC)(CCCC)CCCC.[Cl-]CC(=O)CCC(=O)O</v>
      </c>
      <c r="K1256">
        <v>36</v>
      </c>
      <c r="M1256">
        <f t="shared" si="78"/>
        <v>-0.72967870461249518</v>
      </c>
      <c r="N1256">
        <f t="shared" si="79"/>
        <v>-0.50916624017738199</v>
      </c>
    </row>
    <row r="1257" spans="1:14" x14ac:dyDescent="0.35">
      <c r="A1257">
        <v>1255</v>
      </c>
      <c r="B1257" t="s">
        <v>12</v>
      </c>
      <c r="C1257" t="s">
        <v>74</v>
      </c>
      <c r="D1257">
        <v>0.25</v>
      </c>
      <c r="E1257">
        <v>0.75</v>
      </c>
      <c r="F1257">
        <v>303.14999999999998</v>
      </c>
      <c r="G1257">
        <v>293</v>
      </c>
      <c r="H1257">
        <f t="shared" si="76"/>
        <v>-3.73</v>
      </c>
      <c r="I1257">
        <v>2.3992835836709175E-2</v>
      </c>
      <c r="J1257" t="str">
        <f t="shared" si="77"/>
        <v>CCCC[N+](CCCC)(CCCC)CCCC.[Cl-]CC(=O)CCC(=O)O</v>
      </c>
      <c r="K1257">
        <v>36</v>
      </c>
      <c r="M1257">
        <f t="shared" si="78"/>
        <v>-0.72967870461249518</v>
      </c>
      <c r="N1257">
        <f t="shared" si="79"/>
        <v>-0.45748826083569022</v>
      </c>
    </row>
    <row r="1258" spans="1:14" x14ac:dyDescent="0.35">
      <c r="A1258">
        <v>1256</v>
      </c>
      <c r="B1258" t="s">
        <v>12</v>
      </c>
      <c r="C1258" t="s">
        <v>74</v>
      </c>
      <c r="D1258">
        <v>0.25</v>
      </c>
      <c r="E1258">
        <v>0.75</v>
      </c>
      <c r="F1258">
        <v>303.14999999999998</v>
      </c>
      <c r="G1258">
        <v>389.8</v>
      </c>
      <c r="H1258">
        <f t="shared" si="76"/>
        <v>-3.4482889891960058</v>
      </c>
      <c r="I1258">
        <v>3.1800000000000002E-2</v>
      </c>
      <c r="J1258" t="str">
        <f t="shared" si="77"/>
        <v>CCCC[N+](CCCC)(CCCC)CCCC.[Cl-]CC(=O)CCC(=O)O</v>
      </c>
      <c r="K1258">
        <v>36</v>
      </c>
      <c r="M1258">
        <f t="shared" si="78"/>
        <v>-0.72967870461249518</v>
      </c>
      <c r="N1258">
        <f t="shared" si="79"/>
        <v>-0.40334942533487023</v>
      </c>
    </row>
    <row r="1259" spans="1:14" x14ac:dyDescent="0.35">
      <c r="A1259">
        <v>1257</v>
      </c>
      <c r="B1259" t="s">
        <v>12</v>
      </c>
      <c r="C1259" t="s">
        <v>74</v>
      </c>
      <c r="D1259">
        <v>0.25</v>
      </c>
      <c r="E1259">
        <v>0.75</v>
      </c>
      <c r="F1259">
        <v>303.14999999999998</v>
      </c>
      <c r="G1259">
        <v>494.3</v>
      </c>
      <c r="H1259">
        <f t="shared" si="76"/>
        <v>-3.2163789446696138</v>
      </c>
      <c r="I1259">
        <v>4.0099999999999997E-2</v>
      </c>
      <c r="J1259" t="str">
        <f t="shared" si="77"/>
        <v>CCCC[N+](CCCC)(CCCC)CCCC.[Cl-]CC(=O)CCC(=O)O</v>
      </c>
      <c r="K1259">
        <v>36</v>
      </c>
      <c r="M1259">
        <f t="shared" si="78"/>
        <v>-0.72967870461249518</v>
      </c>
      <c r="N1259">
        <f t="shared" si="79"/>
        <v>-0.34490409155557589</v>
      </c>
    </row>
    <row r="1260" spans="1:14" x14ac:dyDescent="0.35">
      <c r="A1260">
        <v>1258</v>
      </c>
      <c r="B1260" t="s">
        <v>12</v>
      </c>
      <c r="C1260" t="s">
        <v>74</v>
      </c>
      <c r="D1260">
        <v>0.25</v>
      </c>
      <c r="E1260">
        <v>0.75</v>
      </c>
      <c r="F1260">
        <v>303.14999999999998</v>
      </c>
      <c r="G1260">
        <v>559.1</v>
      </c>
      <c r="H1260">
        <f t="shared" si="76"/>
        <v>-3.0944482464931489</v>
      </c>
      <c r="I1260">
        <v>4.53E-2</v>
      </c>
      <c r="J1260" t="str">
        <f t="shared" si="77"/>
        <v>CCCC[N+](CCCC)(CCCC)CCCC.[Cl-]CC(=O)CCC(=O)O</v>
      </c>
      <c r="K1260">
        <v>36</v>
      </c>
      <c r="M1260">
        <f t="shared" si="78"/>
        <v>-0.72967870461249518</v>
      </c>
      <c r="N1260">
        <f t="shared" si="79"/>
        <v>-0.30866239175750626</v>
      </c>
    </row>
    <row r="1261" spans="1:14" x14ac:dyDescent="0.35">
      <c r="A1261">
        <v>1259</v>
      </c>
      <c r="B1261" t="s">
        <v>12</v>
      </c>
      <c r="C1261" t="s">
        <v>74</v>
      </c>
      <c r="D1261">
        <v>0.25</v>
      </c>
      <c r="E1261">
        <v>0.75</v>
      </c>
      <c r="F1261">
        <v>313.14999999999998</v>
      </c>
      <c r="G1261">
        <v>69.7</v>
      </c>
      <c r="H1261">
        <f t="shared" si="76"/>
        <v>-5.13</v>
      </c>
      <c r="I1261">
        <v>5.9165604736818572E-3</v>
      </c>
      <c r="J1261" t="str">
        <f t="shared" si="77"/>
        <v>CCCC[N+](CCCC)(CCCC)CCCC.[Cl-]CC(=O)CCC(=O)O</v>
      </c>
      <c r="K1261">
        <v>36</v>
      </c>
      <c r="M1261">
        <f t="shared" si="78"/>
        <v>5.4037971934950142E-2</v>
      </c>
      <c r="N1261">
        <f t="shared" si="79"/>
        <v>-0.58237671091144538</v>
      </c>
    </row>
    <row r="1262" spans="1:14" x14ac:dyDescent="0.35">
      <c r="A1262">
        <v>1260</v>
      </c>
      <c r="B1262" t="s">
        <v>12</v>
      </c>
      <c r="C1262" t="s">
        <v>74</v>
      </c>
      <c r="D1262">
        <v>0.25</v>
      </c>
      <c r="E1262">
        <v>0.75</v>
      </c>
      <c r="F1262">
        <v>313.14999999999998</v>
      </c>
      <c r="G1262">
        <v>127.3</v>
      </c>
      <c r="H1262">
        <f t="shared" si="76"/>
        <v>-4.6100000000000003</v>
      </c>
      <c r="I1262">
        <v>9.9518183078484198E-3</v>
      </c>
      <c r="J1262" t="str">
        <f t="shared" si="77"/>
        <v>CCCC[N+](CCCC)(CCCC)CCCC.[Cl-]CC(=O)CCC(=O)O</v>
      </c>
      <c r="K1262">
        <v>36</v>
      </c>
      <c r="M1262">
        <f t="shared" si="78"/>
        <v>5.4037971934950142E-2</v>
      </c>
      <c r="N1262">
        <f t="shared" si="79"/>
        <v>-0.55016186664649469</v>
      </c>
    </row>
    <row r="1263" spans="1:14" x14ac:dyDescent="0.35">
      <c r="A1263">
        <v>1261</v>
      </c>
      <c r="B1263" t="s">
        <v>12</v>
      </c>
      <c r="C1263" t="s">
        <v>74</v>
      </c>
      <c r="D1263">
        <v>0.25</v>
      </c>
      <c r="E1263">
        <v>0.75</v>
      </c>
      <c r="F1263">
        <v>313.14999999999998</v>
      </c>
      <c r="G1263">
        <v>210.9</v>
      </c>
      <c r="H1263">
        <f t="shared" si="76"/>
        <v>-4.16</v>
      </c>
      <c r="I1263">
        <v>1.5607557919982831E-2</v>
      </c>
      <c r="J1263" t="str">
        <f t="shared" si="77"/>
        <v>CCCC[N+](CCCC)(CCCC)CCCC.[Cl-]CC(=O)CCC(=O)O</v>
      </c>
      <c r="K1263">
        <v>36</v>
      </c>
      <c r="M1263">
        <f t="shared" si="78"/>
        <v>5.4037971934950142E-2</v>
      </c>
      <c r="N1263">
        <f t="shared" si="79"/>
        <v>-0.50340559962305931</v>
      </c>
    </row>
    <row r="1264" spans="1:14" x14ac:dyDescent="0.35">
      <c r="A1264">
        <v>1262</v>
      </c>
      <c r="B1264" t="s">
        <v>12</v>
      </c>
      <c r="C1264" t="s">
        <v>74</v>
      </c>
      <c r="D1264">
        <v>0.25</v>
      </c>
      <c r="E1264">
        <v>0.75</v>
      </c>
      <c r="F1264">
        <v>313.14999999999998</v>
      </c>
      <c r="G1264">
        <v>310</v>
      </c>
      <c r="H1264">
        <f t="shared" si="76"/>
        <v>-3.8167128256238212</v>
      </c>
      <c r="I1264">
        <v>2.1999999999999999E-2</v>
      </c>
      <c r="J1264" t="str">
        <f t="shared" si="77"/>
        <v>CCCC[N+](CCCC)(CCCC)CCCC.[Cl-]CC(=O)CCC(=O)O</v>
      </c>
      <c r="K1264">
        <v>36</v>
      </c>
      <c r="M1264">
        <f t="shared" si="78"/>
        <v>5.4037971934950142E-2</v>
      </c>
      <c r="N1264">
        <f t="shared" si="79"/>
        <v>-0.44798040749360407</v>
      </c>
    </row>
    <row r="1265" spans="1:14" x14ac:dyDescent="0.35">
      <c r="A1265">
        <v>1263</v>
      </c>
      <c r="B1265" t="s">
        <v>12</v>
      </c>
      <c r="C1265" t="s">
        <v>74</v>
      </c>
      <c r="D1265">
        <v>0.25</v>
      </c>
      <c r="E1265">
        <v>0.75</v>
      </c>
      <c r="F1265">
        <v>313.14999999999998</v>
      </c>
      <c r="G1265">
        <v>409.1</v>
      </c>
      <c r="H1265">
        <f t="shared" si="76"/>
        <v>-3.5473798918402371</v>
      </c>
      <c r="I1265">
        <v>2.8799999999999999E-2</v>
      </c>
      <c r="J1265" t="str">
        <f t="shared" si="77"/>
        <v>CCCC[N+](CCCC)(CCCC)CCCC.[Cl-]CC(=O)CCC(=O)O</v>
      </c>
      <c r="K1265">
        <v>36</v>
      </c>
      <c r="M1265">
        <f t="shared" si="78"/>
        <v>5.4037971934950142E-2</v>
      </c>
      <c r="N1265">
        <f t="shared" si="79"/>
        <v>-0.39255521536414884</v>
      </c>
    </row>
    <row r="1266" spans="1:14" x14ac:dyDescent="0.35">
      <c r="A1266">
        <v>1264</v>
      </c>
      <c r="B1266" t="s">
        <v>12</v>
      </c>
      <c r="C1266" t="s">
        <v>74</v>
      </c>
      <c r="D1266">
        <v>0.25</v>
      </c>
      <c r="E1266">
        <v>0.75</v>
      </c>
      <c r="F1266">
        <v>313.14999999999998</v>
      </c>
      <c r="G1266">
        <v>509.6</v>
      </c>
      <c r="H1266">
        <f t="shared" si="76"/>
        <v>-3.3382225825007672</v>
      </c>
      <c r="I1266">
        <v>3.5499999999999997E-2</v>
      </c>
      <c r="J1266" t="str">
        <f t="shared" si="77"/>
        <v>CCCC[N+](CCCC)(CCCC)CCCC.[Cl-]CC(=O)CCC(=O)O</v>
      </c>
      <c r="K1266">
        <v>36</v>
      </c>
      <c r="M1266">
        <f t="shared" si="78"/>
        <v>5.4037971934950142E-2</v>
      </c>
      <c r="N1266">
        <f t="shared" si="79"/>
        <v>-0.3363470235476983</v>
      </c>
    </row>
    <row r="1267" spans="1:14" x14ac:dyDescent="0.35">
      <c r="A1267">
        <v>1265</v>
      </c>
      <c r="B1267" t="s">
        <v>12</v>
      </c>
      <c r="C1267" t="s">
        <v>74</v>
      </c>
      <c r="D1267">
        <v>0.25</v>
      </c>
      <c r="E1267">
        <v>0.75</v>
      </c>
      <c r="F1267">
        <v>313.14999999999998</v>
      </c>
      <c r="G1267">
        <v>578.6</v>
      </c>
      <c r="H1267">
        <f t="shared" si="76"/>
        <v>-3.2114038100294997</v>
      </c>
      <c r="I1267">
        <v>4.0300000000000002E-2</v>
      </c>
      <c r="J1267" t="str">
        <f t="shared" si="77"/>
        <v>CCCC[N+](CCCC)(CCCC)CCCC.[Cl-]CC(=O)CCC(=O)O</v>
      </c>
      <c r="K1267">
        <v>36</v>
      </c>
      <c r="M1267">
        <f t="shared" si="78"/>
        <v>5.4037971934950142E-2</v>
      </c>
      <c r="N1267">
        <f t="shared" si="79"/>
        <v>-0.29775632468864272</v>
      </c>
    </row>
    <row r="1268" spans="1:14" x14ac:dyDescent="0.35">
      <c r="A1268">
        <v>1266</v>
      </c>
      <c r="B1268" t="s">
        <v>12</v>
      </c>
      <c r="C1268" t="s">
        <v>74</v>
      </c>
      <c r="D1268">
        <v>0.25</v>
      </c>
      <c r="E1268">
        <v>0.75</v>
      </c>
      <c r="F1268">
        <v>323.14999999999998</v>
      </c>
      <c r="G1268">
        <v>79.099999999999994</v>
      </c>
      <c r="H1268">
        <f t="shared" si="76"/>
        <v>-5.38</v>
      </c>
      <c r="I1268">
        <v>4.6078219299927519E-3</v>
      </c>
      <c r="J1268" t="str">
        <f t="shared" si="77"/>
        <v>CCCC[N+](CCCC)(CCCC)CCCC.[Cl-]CC(=O)CCC(=O)O</v>
      </c>
      <c r="K1268">
        <v>36</v>
      </c>
      <c r="M1268">
        <f t="shared" si="78"/>
        <v>0.83775464848239545</v>
      </c>
      <c r="N1268">
        <f t="shared" si="79"/>
        <v>-0.57711942729876253</v>
      </c>
    </row>
    <row r="1269" spans="1:14" x14ac:dyDescent="0.35">
      <c r="A1269">
        <v>1267</v>
      </c>
      <c r="B1269" t="s">
        <v>12</v>
      </c>
      <c r="C1269" t="s">
        <v>74</v>
      </c>
      <c r="D1269">
        <v>0.25</v>
      </c>
      <c r="E1269">
        <v>0.75</v>
      </c>
      <c r="F1269">
        <v>323.14999999999998</v>
      </c>
      <c r="G1269">
        <v>131.6</v>
      </c>
      <c r="H1269">
        <f t="shared" si="76"/>
        <v>-4.91</v>
      </c>
      <c r="I1269">
        <v>7.372488331368012E-3</v>
      </c>
      <c r="J1269" t="str">
        <f t="shared" si="77"/>
        <v>CCCC[N+](CCCC)(CCCC)CCCC.[Cl-]CC(=O)CCC(=O)O</v>
      </c>
      <c r="K1269">
        <v>36</v>
      </c>
      <c r="M1269">
        <f t="shared" si="78"/>
        <v>0.83775464848239545</v>
      </c>
      <c r="N1269">
        <f t="shared" si="79"/>
        <v>-0.54775693903643763</v>
      </c>
    </row>
    <row r="1270" spans="1:14" x14ac:dyDescent="0.35">
      <c r="A1270">
        <v>1268</v>
      </c>
      <c r="B1270" t="s">
        <v>12</v>
      </c>
      <c r="C1270" t="s">
        <v>74</v>
      </c>
      <c r="D1270">
        <v>0.25</v>
      </c>
      <c r="E1270">
        <v>0.75</v>
      </c>
      <c r="F1270">
        <v>323.14999999999998</v>
      </c>
      <c r="G1270">
        <v>229.6</v>
      </c>
      <c r="H1270">
        <f t="shared" si="76"/>
        <v>-4.34</v>
      </c>
      <c r="I1270">
        <v>1.3036528203437736E-2</v>
      </c>
      <c r="J1270" t="str">
        <f t="shared" si="77"/>
        <v>CCCC[N+](CCCC)(CCCC)CCCC.[Cl-]CC(=O)CCC(=O)O</v>
      </c>
      <c r="K1270">
        <v>36</v>
      </c>
      <c r="M1270">
        <f t="shared" si="78"/>
        <v>0.83775464848239545</v>
      </c>
      <c r="N1270">
        <f t="shared" si="79"/>
        <v>-0.49294696094676449</v>
      </c>
    </row>
    <row r="1271" spans="1:14" x14ac:dyDescent="0.35">
      <c r="A1271">
        <v>1269</v>
      </c>
      <c r="B1271" t="s">
        <v>12</v>
      </c>
      <c r="C1271" t="s">
        <v>74</v>
      </c>
      <c r="D1271">
        <v>0.25</v>
      </c>
      <c r="E1271">
        <v>0.75</v>
      </c>
      <c r="F1271">
        <v>323.14999999999998</v>
      </c>
      <c r="G1271">
        <v>323.39999999999998</v>
      </c>
      <c r="H1271">
        <f t="shared" si="76"/>
        <v>-3.9954046143671973</v>
      </c>
      <c r="I1271">
        <v>1.84E-2</v>
      </c>
      <c r="J1271" t="str">
        <f t="shared" si="77"/>
        <v>CCCC[N+](CCCC)(CCCC)CCCC.[Cl-]CC(=O)CCC(=O)O</v>
      </c>
      <c r="K1271">
        <v>36</v>
      </c>
      <c r="M1271">
        <f t="shared" si="78"/>
        <v>0.83775464848239545</v>
      </c>
      <c r="N1271">
        <f t="shared" si="79"/>
        <v>-0.44048598191807731</v>
      </c>
    </row>
    <row r="1272" spans="1:14" x14ac:dyDescent="0.35">
      <c r="A1272">
        <v>1270</v>
      </c>
      <c r="B1272" t="s">
        <v>12</v>
      </c>
      <c r="C1272" t="s">
        <v>74</v>
      </c>
      <c r="D1272">
        <v>0.25</v>
      </c>
      <c r="E1272">
        <v>0.75</v>
      </c>
      <c r="F1272">
        <v>323.14999999999998</v>
      </c>
      <c r="G1272">
        <v>424.2</v>
      </c>
      <c r="H1272">
        <f t="shared" si="76"/>
        <v>-3.7255434384855279</v>
      </c>
      <c r="I1272">
        <v>2.41E-2</v>
      </c>
      <c r="J1272" t="str">
        <f t="shared" si="77"/>
        <v>CCCC[N+](CCCC)(CCCC)CCCC.[Cl-]CC(=O)CCC(=O)O</v>
      </c>
      <c r="K1272">
        <v>36</v>
      </c>
      <c r="M1272">
        <f t="shared" si="78"/>
        <v>0.83775464848239545</v>
      </c>
      <c r="N1272">
        <f t="shared" si="79"/>
        <v>-0.38411000445441346</v>
      </c>
    </row>
    <row r="1273" spans="1:14" x14ac:dyDescent="0.35">
      <c r="A1273">
        <v>1271</v>
      </c>
      <c r="B1273" t="s">
        <v>12</v>
      </c>
      <c r="C1273" t="s">
        <v>74</v>
      </c>
      <c r="D1273">
        <v>0.25</v>
      </c>
      <c r="E1273">
        <v>0.75</v>
      </c>
      <c r="F1273">
        <v>323.14999999999998</v>
      </c>
      <c r="G1273">
        <v>524.4</v>
      </c>
      <c r="H1273">
        <f t="shared" si="76"/>
        <v>-3.5166082331734829</v>
      </c>
      <c r="I1273">
        <v>2.9700000000000001E-2</v>
      </c>
      <c r="J1273" t="str">
        <f t="shared" si="77"/>
        <v>CCCC[N+](CCCC)(CCCC)CCCC.[Cl-]CC(=O)CCC(=O)O</v>
      </c>
      <c r="K1273">
        <v>36</v>
      </c>
      <c r="M1273">
        <f t="shared" si="78"/>
        <v>0.83775464848239545</v>
      </c>
      <c r="N1273">
        <f t="shared" si="79"/>
        <v>-0.32806959828517629</v>
      </c>
    </row>
    <row r="1274" spans="1:14" x14ac:dyDescent="0.35">
      <c r="A1274">
        <v>1272</v>
      </c>
      <c r="B1274" t="s">
        <v>12</v>
      </c>
      <c r="C1274" t="s">
        <v>74</v>
      </c>
      <c r="D1274">
        <v>0.25</v>
      </c>
      <c r="E1274">
        <v>0.75</v>
      </c>
      <c r="F1274">
        <v>323.14999999999998</v>
      </c>
      <c r="G1274">
        <v>591.6</v>
      </c>
      <c r="H1274">
        <f t="shared" si="76"/>
        <v>-3.396209840151116</v>
      </c>
      <c r="I1274">
        <v>3.3500000000000002E-2</v>
      </c>
      <c r="J1274" t="str">
        <f t="shared" si="77"/>
        <v>CCCC[N+](CCCC)(CCCC)CCCC.[Cl-]CC(=O)CCC(=O)O</v>
      </c>
      <c r="K1274">
        <v>36</v>
      </c>
      <c r="M1274">
        <f t="shared" si="78"/>
        <v>0.83775464848239545</v>
      </c>
      <c r="N1274">
        <f t="shared" si="79"/>
        <v>-0.29048561330940037</v>
      </c>
    </row>
    <row r="1275" spans="1:14" x14ac:dyDescent="0.35">
      <c r="A1275">
        <v>1273</v>
      </c>
      <c r="B1275" t="s">
        <v>12</v>
      </c>
      <c r="C1275" t="s">
        <v>74</v>
      </c>
      <c r="D1275">
        <v>0.25</v>
      </c>
      <c r="E1275">
        <v>0.75</v>
      </c>
      <c r="F1275">
        <v>333.15</v>
      </c>
      <c r="G1275">
        <v>85</v>
      </c>
      <c r="H1275">
        <f t="shared" si="76"/>
        <v>-5.52</v>
      </c>
      <c r="I1275">
        <v>4.0058479420904203E-3</v>
      </c>
      <c r="J1275" t="str">
        <f t="shared" si="77"/>
        <v>CCCC[N+](CCCC)(CCCC)CCCC.[Cl-]CC(=O)CCC(=O)O</v>
      </c>
      <c r="K1275">
        <v>36</v>
      </c>
      <c r="M1275">
        <f t="shared" si="78"/>
        <v>1.6214713250298407</v>
      </c>
      <c r="N1275">
        <f t="shared" si="79"/>
        <v>-0.57381964290356791</v>
      </c>
    </row>
    <row r="1276" spans="1:14" x14ac:dyDescent="0.35">
      <c r="A1276">
        <v>1274</v>
      </c>
      <c r="B1276" t="s">
        <v>12</v>
      </c>
      <c r="C1276" t="s">
        <v>74</v>
      </c>
      <c r="D1276">
        <v>0.25</v>
      </c>
      <c r="E1276">
        <v>0.75</v>
      </c>
      <c r="F1276">
        <v>333.15</v>
      </c>
      <c r="G1276">
        <v>144.5</v>
      </c>
      <c r="H1276">
        <f t="shared" si="76"/>
        <v>-4.9800000000000004</v>
      </c>
      <c r="I1276">
        <v>6.8740625574962482E-3</v>
      </c>
      <c r="J1276" t="str">
        <f t="shared" si="77"/>
        <v>CCCC[N+](CCCC)(CCCC)CCCC.[Cl-]CC(=O)CCC(=O)O</v>
      </c>
      <c r="K1276">
        <v>36</v>
      </c>
      <c r="M1276">
        <f t="shared" si="78"/>
        <v>1.6214713250298407</v>
      </c>
      <c r="N1276">
        <f t="shared" si="79"/>
        <v>-0.54054215620626633</v>
      </c>
    </row>
    <row r="1277" spans="1:14" x14ac:dyDescent="0.35">
      <c r="A1277">
        <v>1275</v>
      </c>
      <c r="B1277" t="s">
        <v>12</v>
      </c>
      <c r="C1277" t="s">
        <v>74</v>
      </c>
      <c r="D1277">
        <v>0.25</v>
      </c>
      <c r="E1277">
        <v>0.75</v>
      </c>
      <c r="F1277">
        <v>333.15</v>
      </c>
      <c r="G1277">
        <v>236.5</v>
      </c>
      <c r="H1277">
        <f t="shared" si="76"/>
        <v>-4.49</v>
      </c>
      <c r="I1277">
        <v>1.1220643809589084E-2</v>
      </c>
      <c r="J1277" t="str">
        <f t="shared" si="77"/>
        <v>CCCC[N+](CCCC)(CCCC)CCCC.[Cl-]CC(=O)CCC(=O)O</v>
      </c>
      <c r="K1277">
        <v>36</v>
      </c>
      <c r="M1277">
        <f t="shared" si="78"/>
        <v>1.6214713250298407</v>
      </c>
      <c r="N1277">
        <f t="shared" si="79"/>
        <v>-0.48908789106085893</v>
      </c>
    </row>
    <row r="1278" spans="1:14" x14ac:dyDescent="0.35">
      <c r="A1278">
        <v>1276</v>
      </c>
      <c r="B1278" t="s">
        <v>12</v>
      </c>
      <c r="C1278" t="s">
        <v>74</v>
      </c>
      <c r="D1278">
        <v>0.25</v>
      </c>
      <c r="E1278">
        <v>0.75</v>
      </c>
      <c r="F1278">
        <v>333.15</v>
      </c>
      <c r="G1278">
        <v>335.5</v>
      </c>
      <c r="H1278">
        <f t="shared" si="76"/>
        <v>-4.1500000000000004</v>
      </c>
      <c r="I1278">
        <v>1.5764416484854486E-2</v>
      </c>
      <c r="J1278" t="str">
        <f t="shared" si="77"/>
        <v>CCCC[N+](CCCC)(CCCC)CCCC.[Cl-]CC(=O)CCC(=O)O</v>
      </c>
      <c r="K1278">
        <v>36</v>
      </c>
      <c r="M1278">
        <f t="shared" si="78"/>
        <v>1.6214713250298407</v>
      </c>
      <c r="N1278">
        <f t="shared" si="79"/>
        <v>-0.43371862748047479</v>
      </c>
    </row>
    <row r="1279" spans="1:14" x14ac:dyDescent="0.35">
      <c r="A1279">
        <v>1277</v>
      </c>
      <c r="B1279" t="s">
        <v>12</v>
      </c>
      <c r="C1279" t="s">
        <v>74</v>
      </c>
      <c r="D1279">
        <v>0.25</v>
      </c>
      <c r="E1279">
        <v>0.75</v>
      </c>
      <c r="F1279">
        <v>333.15</v>
      </c>
      <c r="G1279">
        <v>431.7</v>
      </c>
      <c r="H1279">
        <f t="shared" si="76"/>
        <v>-3.89</v>
      </c>
      <c r="I1279">
        <v>2.0445346037937653E-2</v>
      </c>
      <c r="J1279" t="str">
        <f t="shared" si="77"/>
        <v>CCCC[N+](CCCC)(CCCC)CCCC.[Cl-]CC(=O)CCC(=O)O</v>
      </c>
      <c r="K1279">
        <v>36</v>
      </c>
      <c r="M1279">
        <f t="shared" si="78"/>
        <v>1.6214713250298407</v>
      </c>
      <c r="N1279">
        <f t="shared" si="79"/>
        <v>-0.37991536327408137</v>
      </c>
    </row>
    <row r="1280" spans="1:14" x14ac:dyDescent="0.35">
      <c r="A1280">
        <v>1278</v>
      </c>
      <c r="B1280" t="s">
        <v>12</v>
      </c>
      <c r="C1280" t="s">
        <v>74</v>
      </c>
      <c r="D1280">
        <v>0.25</v>
      </c>
      <c r="E1280">
        <v>0.75</v>
      </c>
      <c r="F1280">
        <v>333.15</v>
      </c>
      <c r="G1280">
        <v>533</v>
      </c>
      <c r="H1280">
        <f t="shared" si="76"/>
        <v>-3.6651629274966204</v>
      </c>
      <c r="I1280">
        <v>2.5600000000000001E-2</v>
      </c>
      <c r="J1280" t="str">
        <f t="shared" si="77"/>
        <v>CCCC[N+](CCCC)(CCCC)CCCC.[Cl-]CC(=O)CCC(=O)O</v>
      </c>
      <c r="K1280">
        <v>36</v>
      </c>
      <c r="M1280">
        <f t="shared" si="78"/>
        <v>1.6214713250298407</v>
      </c>
      <c r="N1280">
        <f t="shared" si="79"/>
        <v>-0.32325974306506211</v>
      </c>
    </row>
    <row r="1281" spans="1:14" x14ac:dyDescent="0.35">
      <c r="A1281">
        <v>1279</v>
      </c>
      <c r="B1281" t="s">
        <v>12</v>
      </c>
      <c r="C1281" t="s">
        <v>74</v>
      </c>
      <c r="D1281">
        <v>0.25</v>
      </c>
      <c r="E1281">
        <v>0.75</v>
      </c>
      <c r="F1281">
        <v>333.15</v>
      </c>
      <c r="G1281">
        <v>589.79999999999995</v>
      </c>
      <c r="H1281">
        <f t="shared" si="76"/>
        <v>-3.564893474332945</v>
      </c>
      <c r="I1281">
        <v>2.8299999999999999E-2</v>
      </c>
      <c r="J1281" t="str">
        <f t="shared" si="77"/>
        <v>CCCC[N+](CCCC)(CCCC)CCCC.[Cl-]CC(=O)CCC(=O)O</v>
      </c>
      <c r="K1281">
        <v>36</v>
      </c>
      <c r="M1281">
        <f t="shared" si="78"/>
        <v>1.6214713250298407</v>
      </c>
      <c r="N1281">
        <f t="shared" si="79"/>
        <v>-0.29149232719268015</v>
      </c>
    </row>
    <row r="1282" spans="1:14" x14ac:dyDescent="0.35">
      <c r="A1282">
        <v>1280</v>
      </c>
      <c r="B1282" t="s">
        <v>11</v>
      </c>
      <c r="C1282" t="s">
        <v>54</v>
      </c>
      <c r="D1282">
        <v>0.25</v>
      </c>
      <c r="E1282">
        <v>0.75</v>
      </c>
      <c r="F1282">
        <v>303.14999999999998</v>
      </c>
      <c r="G1282">
        <v>70.2</v>
      </c>
      <c r="H1282">
        <f t="shared" si="76"/>
        <v>-5.19</v>
      </c>
      <c r="I1282">
        <v>5.5720068149199926E-3</v>
      </c>
      <c r="J1282" t="str">
        <f t="shared" si="77"/>
        <v>CCCC[N+](CCCC)(CCCC)CCCC.[Br-]CC(=O)CCC(=O)O</v>
      </c>
      <c r="K1282">
        <v>29</v>
      </c>
      <c r="M1282">
        <f t="shared" si="78"/>
        <v>-0.72967870461249518</v>
      </c>
      <c r="N1282">
        <f t="shared" si="79"/>
        <v>-0.58209706816608997</v>
      </c>
    </row>
    <row r="1283" spans="1:14" x14ac:dyDescent="0.35">
      <c r="A1283">
        <v>1281</v>
      </c>
      <c r="B1283" t="s">
        <v>11</v>
      </c>
      <c r="C1283" t="s">
        <v>54</v>
      </c>
      <c r="D1283">
        <v>0.25</v>
      </c>
      <c r="E1283">
        <v>0.75</v>
      </c>
      <c r="F1283">
        <v>303.14999999999998</v>
      </c>
      <c r="G1283">
        <v>122.9</v>
      </c>
      <c r="H1283">
        <f t="shared" ref="H1283:H1346" si="80">LN(I1283)</f>
        <v>-4.6100000000000003</v>
      </c>
      <c r="I1283">
        <v>9.9518183078484198E-3</v>
      </c>
      <c r="J1283" t="str">
        <f t="shared" ref="J1283:J1346" si="81">_xlfn.CONCAT(B1283,C1283)</f>
        <v>CCCC[N+](CCCC)(CCCC)CCCC.[Br-]CC(=O)CCC(=O)O</v>
      </c>
      <c r="K1283">
        <v>29</v>
      </c>
      <c r="M1283">
        <f t="shared" ref="M1283:M1346" si="82">(F1283-$L$3)/$L$2</f>
        <v>-0.72967870461249518</v>
      </c>
      <c r="N1283">
        <f t="shared" ref="N1283:N1346" si="83">(G1283-$L$6)/$L$5</f>
        <v>-0.55262272280562286</v>
      </c>
    </row>
    <row r="1284" spans="1:14" x14ac:dyDescent="0.35">
      <c r="A1284">
        <v>1282</v>
      </c>
      <c r="B1284" t="s">
        <v>11</v>
      </c>
      <c r="C1284" t="s">
        <v>54</v>
      </c>
      <c r="D1284">
        <v>0.25</v>
      </c>
      <c r="E1284">
        <v>0.75</v>
      </c>
      <c r="F1284">
        <v>303.14999999999998</v>
      </c>
      <c r="G1284">
        <v>206.2</v>
      </c>
      <c r="H1284">
        <f t="shared" si="80"/>
        <v>-4.1165901711694204</v>
      </c>
      <c r="I1284">
        <v>1.6299999999999999E-2</v>
      </c>
      <c r="J1284" t="str">
        <f t="shared" si="81"/>
        <v>CCCC[N+](CCCC)(CCCC)CCCC.[Br-]CC(=O)CCC(=O)O</v>
      </c>
      <c r="K1284">
        <v>29</v>
      </c>
      <c r="M1284">
        <f t="shared" si="82"/>
        <v>-0.72967870461249518</v>
      </c>
      <c r="N1284">
        <f t="shared" si="83"/>
        <v>-0.50603424142940068</v>
      </c>
    </row>
    <row r="1285" spans="1:14" x14ac:dyDescent="0.35">
      <c r="A1285">
        <v>1283</v>
      </c>
      <c r="B1285" t="s">
        <v>11</v>
      </c>
      <c r="C1285" t="s">
        <v>54</v>
      </c>
      <c r="D1285">
        <v>0.25</v>
      </c>
      <c r="E1285">
        <v>0.75</v>
      </c>
      <c r="F1285">
        <v>303.14999999999998</v>
      </c>
      <c r="G1285">
        <v>301.7</v>
      </c>
      <c r="H1285">
        <f t="shared" si="80"/>
        <v>-3.75</v>
      </c>
      <c r="I1285">
        <v>2.3517745856009107E-2</v>
      </c>
      <c r="J1285" t="str">
        <f t="shared" si="81"/>
        <v>CCCC[N+](CCCC)(CCCC)CCCC.[Br-]CC(=O)CCC(=O)O</v>
      </c>
      <c r="K1285">
        <v>29</v>
      </c>
      <c r="M1285">
        <f t="shared" si="82"/>
        <v>-0.72967870461249518</v>
      </c>
      <c r="N1285">
        <f t="shared" si="83"/>
        <v>-0.45262247706650494</v>
      </c>
    </row>
    <row r="1286" spans="1:14" x14ac:dyDescent="0.35">
      <c r="A1286">
        <v>1284</v>
      </c>
      <c r="B1286" t="s">
        <v>11</v>
      </c>
      <c r="C1286" t="s">
        <v>54</v>
      </c>
      <c r="D1286">
        <v>0.25</v>
      </c>
      <c r="E1286">
        <v>0.75</v>
      </c>
      <c r="F1286">
        <v>303.14999999999998</v>
      </c>
      <c r="G1286">
        <v>401.5</v>
      </c>
      <c r="H1286">
        <f t="shared" si="80"/>
        <v>-3.47</v>
      </c>
      <c r="I1286">
        <v>3.1117030661060859E-2</v>
      </c>
      <c r="J1286" t="str">
        <f t="shared" si="81"/>
        <v>CCCC[N+](CCCC)(CCCC)CCCC.[Br-]CC(=O)CCC(=O)O</v>
      </c>
      <c r="K1286">
        <v>29</v>
      </c>
      <c r="M1286">
        <f t="shared" si="82"/>
        <v>-0.72967870461249518</v>
      </c>
      <c r="N1286">
        <f t="shared" si="83"/>
        <v>-0.39680578509355208</v>
      </c>
    </row>
    <row r="1287" spans="1:14" x14ac:dyDescent="0.35">
      <c r="A1287">
        <v>1285</v>
      </c>
      <c r="B1287" t="s">
        <v>11</v>
      </c>
      <c r="C1287" t="s">
        <v>54</v>
      </c>
      <c r="D1287">
        <v>0.25</v>
      </c>
      <c r="E1287">
        <v>0.75</v>
      </c>
      <c r="F1287">
        <v>303.14999999999998</v>
      </c>
      <c r="G1287">
        <v>500.4</v>
      </c>
      <c r="H1287">
        <f t="shared" si="80"/>
        <v>-3.2623053827955366</v>
      </c>
      <c r="I1287">
        <v>3.8300000000000001E-2</v>
      </c>
      <c r="J1287" t="str">
        <f t="shared" si="81"/>
        <v>CCCC[N+](CCCC)(CCCC)CCCC.[Br-]CC(=O)CCC(=O)O</v>
      </c>
      <c r="K1287">
        <v>29</v>
      </c>
      <c r="M1287">
        <f t="shared" si="82"/>
        <v>-0.72967870461249518</v>
      </c>
      <c r="N1287">
        <f t="shared" si="83"/>
        <v>-0.34149245006223911</v>
      </c>
    </row>
    <row r="1288" spans="1:14" x14ac:dyDescent="0.35">
      <c r="A1288">
        <v>1286</v>
      </c>
      <c r="B1288" t="s">
        <v>11</v>
      </c>
      <c r="C1288" t="s">
        <v>54</v>
      </c>
      <c r="D1288">
        <v>0.25</v>
      </c>
      <c r="E1288">
        <v>0.75</v>
      </c>
      <c r="F1288">
        <v>303.14999999999998</v>
      </c>
      <c r="G1288">
        <v>568.20000000000005</v>
      </c>
      <c r="H1288">
        <f t="shared" si="80"/>
        <v>-3.1419147837320724</v>
      </c>
      <c r="I1288">
        <v>4.3200000000000002E-2</v>
      </c>
      <c r="J1288" t="str">
        <f t="shared" si="81"/>
        <v>CCCC[N+](CCCC)(CCCC)CCCC.[Br-]CC(=O)CCC(=O)O</v>
      </c>
      <c r="K1288">
        <v>29</v>
      </c>
      <c r="M1288">
        <f t="shared" si="82"/>
        <v>-0.72967870461249518</v>
      </c>
      <c r="N1288">
        <f t="shared" si="83"/>
        <v>-0.30357289379203661</v>
      </c>
    </row>
    <row r="1289" spans="1:14" x14ac:dyDescent="0.35">
      <c r="A1289">
        <v>1287</v>
      </c>
      <c r="B1289" t="s">
        <v>11</v>
      </c>
      <c r="C1289" t="s">
        <v>54</v>
      </c>
      <c r="D1289">
        <v>0.25</v>
      </c>
      <c r="E1289">
        <v>0.75</v>
      </c>
      <c r="F1289">
        <v>313.14999999999998</v>
      </c>
      <c r="G1289">
        <v>82.6</v>
      </c>
      <c r="H1289">
        <f t="shared" si="80"/>
        <v>-5.2</v>
      </c>
      <c r="I1289">
        <v>5.5165644207607716E-3</v>
      </c>
      <c r="J1289" t="str">
        <f t="shared" si="81"/>
        <v>CCCC[N+](CCCC)(CCCC)CCCC.[Br-]CC(=O)CCC(=O)O</v>
      </c>
      <c r="K1289">
        <v>29</v>
      </c>
      <c r="M1289">
        <f t="shared" si="82"/>
        <v>5.4037971934950142E-2</v>
      </c>
      <c r="N1289">
        <f t="shared" si="83"/>
        <v>-0.5751619280812742</v>
      </c>
    </row>
    <row r="1290" spans="1:14" x14ac:dyDescent="0.35">
      <c r="A1290">
        <v>1288</v>
      </c>
      <c r="B1290" t="s">
        <v>11</v>
      </c>
      <c r="C1290" t="s">
        <v>54</v>
      </c>
      <c r="D1290">
        <v>0.25</v>
      </c>
      <c r="E1290">
        <v>0.75</v>
      </c>
      <c r="F1290">
        <v>313.14999999999998</v>
      </c>
      <c r="G1290">
        <v>198</v>
      </c>
      <c r="H1290">
        <f t="shared" si="80"/>
        <v>-4.33</v>
      </c>
      <c r="I1290">
        <v>1.3167547490079751E-2</v>
      </c>
      <c r="J1290" t="str">
        <f t="shared" si="81"/>
        <v>CCCC[N+](CCCC)(CCCC)CCCC.[Br-]CC(=O)CCC(=O)O</v>
      </c>
      <c r="K1290">
        <v>29</v>
      </c>
      <c r="M1290">
        <f t="shared" si="82"/>
        <v>5.4037971934950142E-2</v>
      </c>
      <c r="N1290">
        <f t="shared" si="83"/>
        <v>-0.51062038245323049</v>
      </c>
    </row>
    <row r="1291" spans="1:14" x14ac:dyDescent="0.35">
      <c r="A1291">
        <v>1289</v>
      </c>
      <c r="B1291" t="s">
        <v>11</v>
      </c>
      <c r="C1291" t="s">
        <v>54</v>
      </c>
      <c r="D1291">
        <v>0.25</v>
      </c>
      <c r="E1291">
        <v>0.75</v>
      </c>
      <c r="F1291">
        <v>313.14999999999998</v>
      </c>
      <c r="G1291">
        <v>290.60000000000002</v>
      </c>
      <c r="H1291">
        <f t="shared" si="80"/>
        <v>-3.95</v>
      </c>
      <c r="I1291">
        <v>1.925470177538692E-2</v>
      </c>
      <c r="J1291" t="str">
        <f t="shared" si="81"/>
        <v>CCCC[N+](CCCC)(CCCC)CCCC.[Br-]CC(=O)CCC(=O)O</v>
      </c>
      <c r="K1291">
        <v>29</v>
      </c>
      <c r="M1291">
        <f t="shared" si="82"/>
        <v>5.4037971934950142E-2</v>
      </c>
      <c r="N1291">
        <f t="shared" si="83"/>
        <v>-0.45883054601339646</v>
      </c>
    </row>
    <row r="1292" spans="1:14" x14ac:dyDescent="0.35">
      <c r="A1292">
        <v>1290</v>
      </c>
      <c r="B1292" t="s">
        <v>11</v>
      </c>
      <c r="C1292" t="s">
        <v>54</v>
      </c>
      <c r="D1292">
        <v>0.25</v>
      </c>
      <c r="E1292">
        <v>0.75</v>
      </c>
      <c r="F1292">
        <v>313.14999999999998</v>
      </c>
      <c r="G1292">
        <v>400.4</v>
      </c>
      <c r="H1292">
        <f t="shared" si="80"/>
        <v>-3.63</v>
      </c>
      <c r="I1292">
        <v>2.6516184408894181E-2</v>
      </c>
      <c r="J1292" t="str">
        <f t="shared" si="81"/>
        <v>CCCC[N+](CCCC)(CCCC)CCCC.[Br-]CC(=O)CCC(=O)O</v>
      </c>
      <c r="K1292">
        <v>29</v>
      </c>
      <c r="M1292">
        <f t="shared" si="82"/>
        <v>5.4037971934950142E-2</v>
      </c>
      <c r="N1292">
        <f t="shared" si="83"/>
        <v>-0.39742099913333412</v>
      </c>
    </row>
    <row r="1293" spans="1:14" x14ac:dyDescent="0.35">
      <c r="A1293">
        <v>1291</v>
      </c>
      <c r="B1293" t="s">
        <v>11</v>
      </c>
      <c r="C1293" t="s">
        <v>54</v>
      </c>
      <c r="D1293">
        <v>0.25</v>
      </c>
      <c r="E1293">
        <v>0.75</v>
      </c>
      <c r="F1293">
        <v>313.14999999999998</v>
      </c>
      <c r="G1293">
        <v>499.9</v>
      </c>
      <c r="H1293">
        <f t="shared" si="80"/>
        <v>-3.41</v>
      </c>
      <c r="I1293">
        <v>3.3041200375886932E-2</v>
      </c>
      <c r="J1293" t="str">
        <f t="shared" si="81"/>
        <v>CCCC[N+](CCCC)(CCCC)CCCC.[Br-]CC(=O)CCC(=O)O</v>
      </c>
      <c r="K1293">
        <v>29</v>
      </c>
      <c r="M1293">
        <f t="shared" si="82"/>
        <v>5.4037971934950142E-2</v>
      </c>
      <c r="N1293">
        <f t="shared" si="83"/>
        <v>-0.34177209280759457</v>
      </c>
    </row>
    <row r="1294" spans="1:14" x14ac:dyDescent="0.35">
      <c r="A1294">
        <v>1292</v>
      </c>
      <c r="B1294" t="s">
        <v>11</v>
      </c>
      <c r="C1294" t="s">
        <v>54</v>
      </c>
      <c r="D1294">
        <v>0.25</v>
      </c>
      <c r="E1294">
        <v>0.75</v>
      </c>
      <c r="F1294">
        <v>313.14999999999998</v>
      </c>
      <c r="G1294">
        <v>568.4</v>
      </c>
      <c r="H1294">
        <f t="shared" si="80"/>
        <v>-3.2914465177030361</v>
      </c>
      <c r="I1294">
        <v>3.7199999999999997E-2</v>
      </c>
      <c r="J1294" t="str">
        <f t="shared" si="81"/>
        <v>CCCC[N+](CCCC)(CCCC)CCCC.[Br-]CC(=O)CCC(=O)O</v>
      </c>
      <c r="K1294">
        <v>29</v>
      </c>
      <c r="M1294">
        <f t="shared" si="82"/>
        <v>5.4037971934950142E-2</v>
      </c>
      <c r="N1294">
        <f t="shared" si="83"/>
        <v>-0.30346103669389446</v>
      </c>
    </row>
    <row r="1295" spans="1:14" x14ac:dyDescent="0.35">
      <c r="A1295">
        <v>1293</v>
      </c>
      <c r="B1295" t="s">
        <v>11</v>
      </c>
      <c r="C1295" t="s">
        <v>54</v>
      </c>
      <c r="D1295">
        <v>0.25</v>
      </c>
      <c r="E1295">
        <v>0.75</v>
      </c>
      <c r="F1295">
        <v>323.14999999999998</v>
      </c>
      <c r="G1295">
        <v>101.1</v>
      </c>
      <c r="H1295">
        <f t="shared" si="80"/>
        <v>-5.19</v>
      </c>
      <c r="I1295">
        <v>5.5720068149199926E-3</v>
      </c>
      <c r="J1295" t="str">
        <f t="shared" si="81"/>
        <v>CCCC[N+](CCCC)(CCCC)CCCC.[Br-]CC(=O)CCC(=O)O</v>
      </c>
      <c r="K1295">
        <v>29</v>
      </c>
      <c r="M1295">
        <f t="shared" si="82"/>
        <v>0.83775464848239545</v>
      </c>
      <c r="N1295">
        <f t="shared" si="83"/>
        <v>-0.56481514650312159</v>
      </c>
    </row>
    <row r="1296" spans="1:14" x14ac:dyDescent="0.35">
      <c r="A1296">
        <v>1294</v>
      </c>
      <c r="B1296" t="s">
        <v>11</v>
      </c>
      <c r="C1296" t="s">
        <v>54</v>
      </c>
      <c r="D1296">
        <v>0.25</v>
      </c>
      <c r="E1296">
        <v>0.75</v>
      </c>
      <c r="F1296">
        <v>323.14999999999998</v>
      </c>
      <c r="G1296">
        <v>201.4</v>
      </c>
      <c r="H1296">
        <f t="shared" si="80"/>
        <v>-4.57</v>
      </c>
      <c r="I1296">
        <v>1.0357959717613696E-2</v>
      </c>
      <c r="J1296" t="str">
        <f t="shared" si="81"/>
        <v>CCCC[N+](CCCC)(CCCC)CCCC.[Br-]CC(=O)CCC(=O)O</v>
      </c>
      <c r="K1296">
        <v>29</v>
      </c>
      <c r="M1296">
        <f t="shared" si="82"/>
        <v>0.83775464848239545</v>
      </c>
      <c r="N1296">
        <f t="shared" si="83"/>
        <v>-0.50871881178481326</v>
      </c>
    </row>
    <row r="1297" spans="1:14" x14ac:dyDescent="0.35">
      <c r="A1297">
        <v>1295</v>
      </c>
      <c r="B1297" t="s">
        <v>11</v>
      </c>
      <c r="C1297" t="s">
        <v>54</v>
      </c>
      <c r="D1297">
        <v>0.25</v>
      </c>
      <c r="E1297">
        <v>0.75</v>
      </c>
      <c r="F1297">
        <v>323.14999999999998</v>
      </c>
      <c r="G1297">
        <v>306.89999999999998</v>
      </c>
      <c r="H1297">
        <f t="shared" si="80"/>
        <v>-4.1100000000000003</v>
      </c>
      <c r="I1297">
        <v>1.6407774526292645E-2</v>
      </c>
      <c r="J1297" t="str">
        <f t="shared" si="81"/>
        <v>CCCC[N+](CCCC)(CCCC)CCCC.[Br-]CC(=O)CCC(=O)O</v>
      </c>
      <c r="K1297">
        <v>29</v>
      </c>
      <c r="M1297">
        <f t="shared" si="82"/>
        <v>0.83775464848239545</v>
      </c>
      <c r="N1297">
        <f t="shared" si="83"/>
        <v>-0.44971419251480799</v>
      </c>
    </row>
    <row r="1298" spans="1:14" x14ac:dyDescent="0.35">
      <c r="A1298">
        <v>1296</v>
      </c>
      <c r="B1298" t="s">
        <v>11</v>
      </c>
      <c r="C1298" t="s">
        <v>54</v>
      </c>
      <c r="D1298">
        <v>0.25</v>
      </c>
      <c r="E1298">
        <v>0.75</v>
      </c>
      <c r="F1298">
        <v>323.14999999999998</v>
      </c>
      <c r="G1298">
        <v>402.3</v>
      </c>
      <c r="H1298">
        <f t="shared" si="80"/>
        <v>-3.83</v>
      </c>
      <c r="I1298">
        <v>2.1709615629848571E-2</v>
      </c>
      <c r="J1298" t="str">
        <f t="shared" si="81"/>
        <v>CCCC[N+](CCCC)(CCCC)CCCC.[Br-]CC(=O)CCC(=O)O</v>
      </c>
      <c r="K1298">
        <v>29</v>
      </c>
      <c r="M1298">
        <f t="shared" si="82"/>
        <v>0.83775464848239545</v>
      </c>
      <c r="N1298">
        <f t="shared" si="83"/>
        <v>-0.39635835670098335</v>
      </c>
    </row>
    <row r="1299" spans="1:14" x14ac:dyDescent="0.35">
      <c r="A1299">
        <v>1297</v>
      </c>
      <c r="B1299" t="s">
        <v>11</v>
      </c>
      <c r="C1299" t="s">
        <v>54</v>
      </c>
      <c r="D1299">
        <v>0.25</v>
      </c>
      <c r="E1299">
        <v>0.75</v>
      </c>
      <c r="F1299">
        <v>323.14999999999998</v>
      </c>
      <c r="G1299">
        <v>502.9</v>
      </c>
      <c r="H1299">
        <f t="shared" si="80"/>
        <v>-3.6</v>
      </c>
      <c r="I1299">
        <v>2.7323722447292559E-2</v>
      </c>
      <c r="J1299" t="str">
        <f t="shared" si="81"/>
        <v>CCCC[N+](CCCC)(CCCC)CCCC.[Br-]CC(=O)CCC(=O)O</v>
      </c>
      <c r="K1299">
        <v>29</v>
      </c>
      <c r="M1299">
        <f t="shared" si="82"/>
        <v>0.83775464848239545</v>
      </c>
      <c r="N1299">
        <f t="shared" si="83"/>
        <v>-0.34009423633546171</v>
      </c>
    </row>
    <row r="1300" spans="1:14" x14ac:dyDescent="0.35">
      <c r="A1300">
        <v>1298</v>
      </c>
      <c r="B1300" t="s">
        <v>11</v>
      </c>
      <c r="C1300" t="s">
        <v>54</v>
      </c>
      <c r="D1300">
        <v>0.25</v>
      </c>
      <c r="E1300">
        <v>0.75</v>
      </c>
      <c r="F1300">
        <v>323.14999999999998</v>
      </c>
      <c r="G1300">
        <v>566.6</v>
      </c>
      <c r="H1300">
        <f t="shared" si="80"/>
        <v>-3.4834926243889854</v>
      </c>
      <c r="I1300">
        <v>3.0700000000000002E-2</v>
      </c>
      <c r="J1300" t="str">
        <f t="shared" si="81"/>
        <v>CCCC[N+](CCCC)(CCCC)CCCC.[Br-]CC(=O)CCC(=O)O</v>
      </c>
      <c r="K1300">
        <v>29</v>
      </c>
      <c r="M1300">
        <f t="shared" si="82"/>
        <v>0.83775464848239545</v>
      </c>
      <c r="N1300">
        <f t="shared" si="83"/>
        <v>-0.30446775057717412</v>
      </c>
    </row>
    <row r="1301" spans="1:14" x14ac:dyDescent="0.35">
      <c r="A1301">
        <v>1299</v>
      </c>
      <c r="B1301" t="s">
        <v>11</v>
      </c>
      <c r="C1301" t="s">
        <v>54</v>
      </c>
      <c r="D1301">
        <v>0.25</v>
      </c>
      <c r="E1301">
        <v>0.75</v>
      </c>
      <c r="F1301">
        <v>333.15</v>
      </c>
      <c r="G1301">
        <v>85.3</v>
      </c>
      <c r="H1301">
        <f t="shared" si="80"/>
        <v>-5.57</v>
      </c>
      <c r="I1301">
        <v>3.810480432592037E-3</v>
      </c>
      <c r="J1301" t="str">
        <f t="shared" si="81"/>
        <v>CCCC[N+](CCCC)(CCCC)CCCC.[Br-]CC(=O)CCC(=O)O</v>
      </c>
      <c r="K1301">
        <v>29</v>
      </c>
      <c r="M1301">
        <f t="shared" si="82"/>
        <v>1.6214713250298407</v>
      </c>
      <c r="N1301">
        <f t="shared" si="83"/>
        <v>-0.5736518572563547</v>
      </c>
    </row>
    <row r="1302" spans="1:14" x14ac:dyDescent="0.35">
      <c r="A1302">
        <v>1300</v>
      </c>
      <c r="B1302" t="s">
        <v>11</v>
      </c>
      <c r="C1302" t="s">
        <v>54</v>
      </c>
      <c r="D1302">
        <v>0.25</v>
      </c>
      <c r="E1302">
        <v>0.75</v>
      </c>
      <c r="F1302">
        <v>333.15</v>
      </c>
      <c r="G1302">
        <v>142.30000000000001</v>
      </c>
      <c r="H1302">
        <f t="shared" si="80"/>
        <v>-5.04</v>
      </c>
      <c r="I1302">
        <v>6.4737483182894049E-3</v>
      </c>
      <c r="J1302" t="str">
        <f t="shared" si="81"/>
        <v>CCCC[N+](CCCC)(CCCC)CCCC.[Br-]CC(=O)CCC(=O)O</v>
      </c>
      <c r="K1302">
        <v>29</v>
      </c>
      <c r="M1302">
        <f t="shared" si="82"/>
        <v>1.6214713250298407</v>
      </c>
      <c r="N1302">
        <f t="shared" si="83"/>
        <v>-0.54177258428583053</v>
      </c>
    </row>
    <row r="1303" spans="1:14" x14ac:dyDescent="0.35">
      <c r="A1303">
        <v>1301</v>
      </c>
      <c r="B1303" t="s">
        <v>11</v>
      </c>
      <c r="C1303" t="s">
        <v>54</v>
      </c>
      <c r="D1303">
        <v>0.25</v>
      </c>
      <c r="E1303">
        <v>0.75</v>
      </c>
      <c r="F1303">
        <v>333.15</v>
      </c>
      <c r="G1303">
        <v>230.7</v>
      </c>
      <c r="H1303">
        <f t="shared" si="80"/>
        <v>-4.5199999999999996</v>
      </c>
      <c r="I1303">
        <v>1.0889023668554451E-2</v>
      </c>
      <c r="J1303" t="str">
        <f t="shared" si="81"/>
        <v>CCCC[N+](CCCC)(CCCC)CCCC.[Br-]CC(=O)CCC(=O)O</v>
      </c>
      <c r="K1303">
        <v>29</v>
      </c>
      <c r="M1303">
        <f t="shared" si="82"/>
        <v>1.6214713250298407</v>
      </c>
      <c r="N1303">
        <f t="shared" si="83"/>
        <v>-0.49233174690698239</v>
      </c>
    </row>
    <row r="1304" spans="1:14" x14ac:dyDescent="0.35">
      <c r="A1304">
        <v>1302</v>
      </c>
      <c r="B1304" t="s">
        <v>11</v>
      </c>
      <c r="C1304" t="s">
        <v>54</v>
      </c>
      <c r="D1304">
        <v>0.25</v>
      </c>
      <c r="E1304">
        <v>0.75</v>
      </c>
      <c r="F1304">
        <v>333.15</v>
      </c>
      <c r="G1304">
        <v>326</v>
      </c>
      <c r="H1304">
        <f t="shared" si="80"/>
        <v>-4.18</v>
      </c>
      <c r="I1304">
        <v>1.5298507566725518E-2</v>
      </c>
      <c r="J1304" t="str">
        <f t="shared" si="81"/>
        <v>CCCC[N+](CCCC)(CCCC)CCCC.[Br-]CC(=O)CCC(=O)O</v>
      </c>
      <c r="K1304">
        <v>29</v>
      </c>
      <c r="M1304">
        <f t="shared" si="82"/>
        <v>1.6214713250298407</v>
      </c>
      <c r="N1304">
        <f t="shared" si="83"/>
        <v>-0.43903183964222886</v>
      </c>
    </row>
    <row r="1305" spans="1:14" x14ac:dyDescent="0.35">
      <c r="A1305">
        <v>1303</v>
      </c>
      <c r="B1305" t="s">
        <v>11</v>
      </c>
      <c r="C1305" t="s">
        <v>54</v>
      </c>
      <c r="D1305">
        <v>0.25</v>
      </c>
      <c r="E1305">
        <v>0.75</v>
      </c>
      <c r="F1305">
        <v>333.15</v>
      </c>
      <c r="G1305">
        <v>423.2</v>
      </c>
      <c r="H1305">
        <f t="shared" si="80"/>
        <v>-3.91</v>
      </c>
      <c r="I1305">
        <v>2.0040501061684014E-2</v>
      </c>
      <c r="J1305" t="str">
        <f t="shared" si="81"/>
        <v>CCCC[N+](CCCC)(CCCC)CCCC.[Br-]CC(=O)CCC(=O)O</v>
      </c>
      <c r="K1305">
        <v>29</v>
      </c>
      <c r="M1305">
        <f t="shared" si="82"/>
        <v>1.6214713250298407</v>
      </c>
      <c r="N1305">
        <f t="shared" si="83"/>
        <v>-0.38466928994512445</v>
      </c>
    </row>
    <row r="1306" spans="1:14" x14ac:dyDescent="0.35">
      <c r="A1306">
        <v>1304</v>
      </c>
      <c r="B1306" t="s">
        <v>11</v>
      </c>
      <c r="C1306" t="s">
        <v>54</v>
      </c>
      <c r="D1306">
        <v>0.25</v>
      </c>
      <c r="E1306">
        <v>0.75</v>
      </c>
      <c r="F1306">
        <v>333.15</v>
      </c>
      <c r="G1306">
        <v>523.5</v>
      </c>
      <c r="H1306">
        <f t="shared" si="80"/>
        <v>-3.6969116258112007</v>
      </c>
      <c r="I1306">
        <v>2.4799999999999999E-2</v>
      </c>
      <c r="J1306" t="str">
        <f t="shared" si="81"/>
        <v>CCCC[N+](CCCC)(CCCC)CCCC.[Br-]CC(=O)CCC(=O)O</v>
      </c>
      <c r="K1306">
        <v>29</v>
      </c>
      <c r="M1306">
        <f t="shared" si="82"/>
        <v>1.6214713250298407</v>
      </c>
      <c r="N1306">
        <f t="shared" si="83"/>
        <v>-0.32857295522681612</v>
      </c>
    </row>
    <row r="1307" spans="1:14" x14ac:dyDescent="0.35">
      <c r="A1307">
        <v>1305</v>
      </c>
      <c r="B1307" t="s">
        <v>11</v>
      </c>
      <c r="C1307" t="s">
        <v>54</v>
      </c>
      <c r="D1307">
        <v>0.25</v>
      </c>
      <c r="E1307">
        <v>0.75</v>
      </c>
      <c r="F1307">
        <v>333.15</v>
      </c>
      <c r="G1307">
        <v>586.4</v>
      </c>
      <c r="H1307">
        <f t="shared" si="80"/>
        <v>-3.5863228657888442</v>
      </c>
      <c r="I1307">
        <v>2.7699999999999999E-2</v>
      </c>
      <c r="J1307" t="str">
        <f t="shared" si="81"/>
        <v>CCCC[N+](CCCC)(CCCC)CCCC.[Br-]CC(=O)CCC(=O)O</v>
      </c>
      <c r="K1307">
        <v>29</v>
      </c>
      <c r="M1307">
        <f t="shared" si="82"/>
        <v>1.6214713250298407</v>
      </c>
      <c r="N1307">
        <f t="shared" si="83"/>
        <v>-0.29339389786109732</v>
      </c>
    </row>
    <row r="1308" spans="1:14" x14ac:dyDescent="0.35">
      <c r="A1308">
        <v>1306</v>
      </c>
      <c r="B1308" t="s">
        <v>7</v>
      </c>
      <c r="C1308" t="s">
        <v>58</v>
      </c>
      <c r="D1308">
        <v>0.25</v>
      </c>
      <c r="E1308">
        <v>0.75</v>
      </c>
      <c r="F1308">
        <v>313.14999999999998</v>
      </c>
      <c r="G1308">
        <v>1910</v>
      </c>
      <c r="H1308">
        <f t="shared" si="80"/>
        <v>-2.4522458675484522</v>
      </c>
      <c r="I1308">
        <v>8.6099999999999996E-2</v>
      </c>
      <c r="J1308" t="str">
        <f t="shared" si="81"/>
        <v>C[N+](C)(C)CCO.[Cl-]C1=CC=C(C=C1)O</v>
      </c>
      <c r="K1308">
        <v>84</v>
      </c>
      <c r="M1308">
        <f t="shared" si="82"/>
        <v>5.4037971934950142E-2</v>
      </c>
      <c r="N1308">
        <f t="shared" si="83"/>
        <v>0.4468763776439168</v>
      </c>
    </row>
    <row r="1309" spans="1:14" x14ac:dyDescent="0.35">
      <c r="A1309">
        <v>1307</v>
      </c>
      <c r="B1309" t="s">
        <v>7</v>
      </c>
      <c r="C1309" t="s">
        <v>58</v>
      </c>
      <c r="D1309">
        <v>0.25</v>
      </c>
      <c r="E1309">
        <v>0.75</v>
      </c>
      <c r="F1309">
        <v>313.14999999999998</v>
      </c>
      <c r="G1309">
        <v>3120</v>
      </c>
      <c r="H1309">
        <f t="shared" si="80"/>
        <v>-2.1045542424949111</v>
      </c>
      <c r="I1309">
        <v>0.12189999999999999</v>
      </c>
      <c r="J1309" t="str">
        <f t="shared" si="81"/>
        <v>C[N+](C)(C)CCO.[Cl-]C1=CC=C(C=C1)O</v>
      </c>
      <c r="K1309">
        <v>84</v>
      </c>
      <c r="M1309">
        <f t="shared" si="82"/>
        <v>5.4037971934950142E-2</v>
      </c>
      <c r="N1309">
        <f t="shared" si="83"/>
        <v>1.1236118214041668</v>
      </c>
    </row>
    <row r="1310" spans="1:14" x14ac:dyDescent="0.35">
      <c r="A1310">
        <v>1308</v>
      </c>
      <c r="B1310" t="s">
        <v>7</v>
      </c>
      <c r="C1310" t="s">
        <v>58</v>
      </c>
      <c r="D1310">
        <v>0.25</v>
      </c>
      <c r="E1310">
        <v>0.75</v>
      </c>
      <c r="F1310">
        <v>313.14999999999998</v>
      </c>
      <c r="G1310">
        <v>4660</v>
      </c>
      <c r="H1310">
        <f t="shared" si="80"/>
        <v>-1.8282160062386701</v>
      </c>
      <c r="I1310">
        <v>0.16070000000000001</v>
      </c>
      <c r="J1310" t="str">
        <f t="shared" si="81"/>
        <v>C[N+](C)(C)CCO.[Cl-]C1=CC=C(C=C1)O</v>
      </c>
      <c r="K1310">
        <v>84</v>
      </c>
      <c r="M1310">
        <f t="shared" si="82"/>
        <v>5.4037971934950142E-2</v>
      </c>
      <c r="N1310">
        <f t="shared" si="83"/>
        <v>1.9849114770990308</v>
      </c>
    </row>
    <row r="1311" spans="1:14" x14ac:dyDescent="0.35">
      <c r="A1311">
        <v>1309</v>
      </c>
      <c r="B1311" t="s">
        <v>7</v>
      </c>
      <c r="C1311" t="s">
        <v>58</v>
      </c>
      <c r="D1311">
        <v>0.25</v>
      </c>
      <c r="E1311">
        <v>0.75</v>
      </c>
      <c r="F1311">
        <v>313.14999999999998</v>
      </c>
      <c r="G1311">
        <v>6760</v>
      </c>
      <c r="H1311">
        <f t="shared" si="80"/>
        <v>-1.5886553732515718</v>
      </c>
      <c r="I1311">
        <v>0.20419999999999999</v>
      </c>
      <c r="J1311" t="str">
        <f t="shared" si="81"/>
        <v>C[N+](C)(C)CCO.[Cl-]C1=CC=C(C=C1)O</v>
      </c>
      <c r="K1311">
        <v>84</v>
      </c>
      <c r="M1311">
        <f t="shared" si="82"/>
        <v>5.4037971934950142E-2</v>
      </c>
      <c r="N1311">
        <f t="shared" si="83"/>
        <v>3.159411007592027</v>
      </c>
    </row>
    <row r="1312" spans="1:14" x14ac:dyDescent="0.35">
      <c r="A1312">
        <v>1310</v>
      </c>
      <c r="B1312" t="s">
        <v>7</v>
      </c>
      <c r="C1312" t="s">
        <v>58</v>
      </c>
      <c r="D1312">
        <v>0.25</v>
      </c>
      <c r="E1312">
        <v>0.75</v>
      </c>
      <c r="F1312">
        <v>313.14999999999998</v>
      </c>
      <c r="G1312">
        <v>8250</v>
      </c>
      <c r="H1312">
        <f t="shared" si="80"/>
        <v>-1.4692412819408169</v>
      </c>
      <c r="I1312">
        <v>0.2301</v>
      </c>
      <c r="J1312" t="str">
        <f t="shared" si="81"/>
        <v>C[N+](C)(C)CCO.[Cl-]C1=CC=C(C=C1)O</v>
      </c>
      <c r="K1312">
        <v>84</v>
      </c>
      <c r="M1312">
        <f t="shared" si="82"/>
        <v>5.4037971934950142E-2</v>
      </c>
      <c r="N1312">
        <f t="shared" si="83"/>
        <v>3.992746388751343</v>
      </c>
    </row>
    <row r="1313" spans="1:14" x14ac:dyDescent="0.35">
      <c r="A1313">
        <v>1311</v>
      </c>
      <c r="B1313" t="s">
        <v>7</v>
      </c>
      <c r="C1313" t="s">
        <v>58</v>
      </c>
      <c r="D1313">
        <v>0.25</v>
      </c>
      <c r="E1313">
        <v>0.75</v>
      </c>
      <c r="F1313">
        <v>313.14999999999998</v>
      </c>
      <c r="G1313">
        <v>9780</v>
      </c>
      <c r="H1313">
        <f t="shared" si="80"/>
        <v>-1.3700273886560186</v>
      </c>
      <c r="I1313">
        <v>0.25409999999999999</v>
      </c>
      <c r="J1313" t="str">
        <f t="shared" si="81"/>
        <v>C[N+](C)(C)CCO.[Cl-]C1=CC=C(C=C1)O</v>
      </c>
      <c r="K1313">
        <v>84</v>
      </c>
      <c r="M1313">
        <f t="shared" si="82"/>
        <v>5.4037971934950142E-2</v>
      </c>
      <c r="N1313">
        <f t="shared" si="83"/>
        <v>4.8484531895390974</v>
      </c>
    </row>
    <row r="1314" spans="1:14" x14ac:dyDescent="0.35">
      <c r="A1314">
        <v>1312</v>
      </c>
      <c r="B1314" t="s">
        <v>7</v>
      </c>
      <c r="C1314" t="s">
        <v>58</v>
      </c>
      <c r="D1314">
        <v>0.25</v>
      </c>
      <c r="E1314">
        <v>0.75</v>
      </c>
      <c r="F1314">
        <v>313.14999999999998</v>
      </c>
      <c r="G1314">
        <v>11820</v>
      </c>
      <c r="H1314">
        <f t="shared" si="80"/>
        <v>-1.2953573661277886</v>
      </c>
      <c r="I1314">
        <v>0.27379999999999999</v>
      </c>
      <c r="J1314" t="str">
        <f t="shared" si="81"/>
        <v>C[N+](C)(C)CCO.[Cl-]C1=CC=C(C=C1)O</v>
      </c>
      <c r="K1314">
        <v>84</v>
      </c>
      <c r="M1314">
        <f t="shared" si="82"/>
        <v>5.4037971934950142E-2</v>
      </c>
      <c r="N1314">
        <f t="shared" si="83"/>
        <v>5.989395590589436</v>
      </c>
    </row>
    <row r="1315" spans="1:14" x14ac:dyDescent="0.35">
      <c r="A1315">
        <v>1313</v>
      </c>
      <c r="B1315" t="s">
        <v>17</v>
      </c>
      <c r="C1315" t="s">
        <v>58</v>
      </c>
      <c r="D1315">
        <v>0.25</v>
      </c>
      <c r="E1315">
        <v>0.75</v>
      </c>
      <c r="F1315">
        <v>313.14999999999998</v>
      </c>
      <c r="G1315">
        <v>2360</v>
      </c>
      <c r="H1315">
        <f t="shared" si="80"/>
        <v>-2.3591554444824401</v>
      </c>
      <c r="I1315">
        <v>9.4500000000000001E-2</v>
      </c>
      <c r="J1315" t="str">
        <f t="shared" si="81"/>
        <v>C[N+](C)(C)C.[Cl-]C1=CC=C(C=C1)O</v>
      </c>
      <c r="K1315">
        <v>67</v>
      </c>
      <c r="M1315">
        <f t="shared" si="82"/>
        <v>5.4037971934950142E-2</v>
      </c>
      <c r="N1315">
        <f t="shared" si="83"/>
        <v>0.69855484846384452</v>
      </c>
    </row>
    <row r="1316" spans="1:14" x14ac:dyDescent="0.35">
      <c r="A1316">
        <v>1314</v>
      </c>
      <c r="B1316" t="s">
        <v>17</v>
      </c>
      <c r="C1316" t="s">
        <v>58</v>
      </c>
      <c r="D1316">
        <v>0.25</v>
      </c>
      <c r="E1316">
        <v>0.75</v>
      </c>
      <c r="F1316">
        <v>313.14999999999998</v>
      </c>
      <c r="G1316">
        <v>4470</v>
      </c>
      <c r="H1316">
        <f t="shared" si="80"/>
        <v>-1.9740010292218391</v>
      </c>
      <c r="I1316">
        <v>0.1389</v>
      </c>
      <c r="J1316" t="str">
        <f t="shared" si="81"/>
        <v>C[N+](C)(C)C.[Cl-]C1=CC=C(C=C1)O</v>
      </c>
      <c r="K1316">
        <v>67</v>
      </c>
      <c r="M1316">
        <f t="shared" si="82"/>
        <v>5.4037971934950142E-2</v>
      </c>
      <c r="N1316">
        <f t="shared" si="83"/>
        <v>1.8786472338639502</v>
      </c>
    </row>
    <row r="1317" spans="1:14" x14ac:dyDescent="0.35">
      <c r="A1317">
        <v>1315</v>
      </c>
      <c r="B1317" t="s">
        <v>17</v>
      </c>
      <c r="C1317" t="s">
        <v>58</v>
      </c>
      <c r="D1317">
        <v>0.25</v>
      </c>
      <c r="E1317">
        <v>0.75</v>
      </c>
      <c r="F1317">
        <v>313.14999999999998</v>
      </c>
      <c r="G1317">
        <v>6500</v>
      </c>
      <c r="H1317">
        <f t="shared" si="80"/>
        <v>-1.6879401405890579</v>
      </c>
      <c r="I1317">
        <v>0.18490000000000001</v>
      </c>
      <c r="J1317" t="str">
        <f t="shared" si="81"/>
        <v>C[N+](C)(C)C.[Cl-]C1=CC=C(C=C1)O</v>
      </c>
      <c r="K1317">
        <v>67</v>
      </c>
      <c r="M1317">
        <f t="shared" si="82"/>
        <v>5.4037971934950142E-2</v>
      </c>
      <c r="N1317">
        <f t="shared" si="83"/>
        <v>3.0139967800071799</v>
      </c>
    </row>
    <row r="1318" spans="1:14" x14ac:dyDescent="0.35">
      <c r="A1318">
        <v>1316</v>
      </c>
      <c r="B1318" t="s">
        <v>17</v>
      </c>
      <c r="C1318" t="s">
        <v>58</v>
      </c>
      <c r="D1318">
        <v>0.25</v>
      </c>
      <c r="E1318">
        <v>0.75</v>
      </c>
      <c r="F1318">
        <v>313.14999999999998</v>
      </c>
      <c r="G1318">
        <v>8000</v>
      </c>
      <c r="H1318">
        <f t="shared" si="80"/>
        <v>-1.5250967640003494</v>
      </c>
      <c r="I1318">
        <v>0.21759999999999999</v>
      </c>
      <c r="J1318" t="str">
        <f t="shared" si="81"/>
        <v>C[N+](C)(C)C.[Cl-]C1=CC=C(C=C1)O</v>
      </c>
      <c r="K1318">
        <v>67</v>
      </c>
      <c r="M1318">
        <f t="shared" si="82"/>
        <v>5.4037971934950142E-2</v>
      </c>
      <c r="N1318">
        <f t="shared" si="83"/>
        <v>3.8529250160736055</v>
      </c>
    </row>
    <row r="1319" spans="1:14" x14ac:dyDescent="0.35">
      <c r="A1319">
        <v>1317</v>
      </c>
      <c r="B1319" t="s">
        <v>17</v>
      </c>
      <c r="C1319" t="s">
        <v>58</v>
      </c>
      <c r="D1319">
        <v>0.25</v>
      </c>
      <c r="E1319">
        <v>0.75</v>
      </c>
      <c r="F1319">
        <v>313.14999999999998</v>
      </c>
      <c r="G1319">
        <v>8920</v>
      </c>
      <c r="H1319">
        <f t="shared" si="80"/>
        <v>-1.4567168254164364</v>
      </c>
      <c r="I1319">
        <v>0.23300000000000001</v>
      </c>
      <c r="J1319" t="str">
        <f t="shared" si="81"/>
        <v>C[N+](C)(C)C.[Cl-]C1=CC=C(C=C1)O</v>
      </c>
      <c r="K1319">
        <v>67</v>
      </c>
      <c r="M1319">
        <f t="shared" si="82"/>
        <v>5.4037971934950142E-2</v>
      </c>
      <c r="N1319">
        <f t="shared" si="83"/>
        <v>4.3674676675276798</v>
      </c>
    </row>
    <row r="1320" spans="1:14" x14ac:dyDescent="0.35">
      <c r="A1320">
        <v>1318</v>
      </c>
      <c r="B1320" t="s">
        <v>17</v>
      </c>
      <c r="C1320" t="s">
        <v>58</v>
      </c>
      <c r="D1320">
        <v>0.25</v>
      </c>
      <c r="E1320">
        <v>0.75</v>
      </c>
      <c r="F1320">
        <v>313.14999999999998</v>
      </c>
      <c r="G1320">
        <v>10650</v>
      </c>
      <c r="H1320">
        <f t="shared" si="80"/>
        <v>-1.3927149289228133</v>
      </c>
      <c r="I1320">
        <v>0.24840000000000001</v>
      </c>
      <c r="J1320" t="str">
        <f t="shared" si="81"/>
        <v>C[N+](C)(C)C.[Cl-]C1=CC=C(C=C1)O</v>
      </c>
      <c r="K1320">
        <v>67</v>
      </c>
      <c r="M1320">
        <f t="shared" si="82"/>
        <v>5.4037971934950142E-2</v>
      </c>
      <c r="N1320">
        <f t="shared" si="83"/>
        <v>5.3350315664576247</v>
      </c>
    </row>
    <row r="1321" spans="1:14" x14ac:dyDescent="0.35">
      <c r="A1321">
        <v>1319</v>
      </c>
      <c r="B1321" t="s">
        <v>17</v>
      </c>
      <c r="C1321" t="s">
        <v>58</v>
      </c>
      <c r="D1321">
        <v>0.25</v>
      </c>
      <c r="E1321">
        <v>0.75</v>
      </c>
      <c r="F1321">
        <v>313.14999999999998</v>
      </c>
      <c r="G1321">
        <v>12170</v>
      </c>
      <c r="H1321">
        <f t="shared" si="80"/>
        <v>-1.3382663921093092</v>
      </c>
      <c r="I1321">
        <v>0.26229999999999998</v>
      </c>
      <c r="J1321" t="str">
        <f t="shared" si="81"/>
        <v>C[N+](C)(C)C.[Cl-]C1=CC=C(C=C1)O</v>
      </c>
      <c r="K1321">
        <v>67</v>
      </c>
      <c r="M1321">
        <f t="shared" si="82"/>
        <v>5.4037971934950142E-2</v>
      </c>
      <c r="N1321">
        <f t="shared" si="83"/>
        <v>6.185145512338269</v>
      </c>
    </row>
    <row r="1322" spans="1:14" x14ac:dyDescent="0.35">
      <c r="A1322">
        <v>1320</v>
      </c>
      <c r="B1322" t="s">
        <v>15</v>
      </c>
      <c r="C1322" t="s">
        <v>77</v>
      </c>
      <c r="D1322">
        <v>0.25</v>
      </c>
      <c r="E1322">
        <v>0.75</v>
      </c>
      <c r="F1322">
        <v>313.14999999999998</v>
      </c>
      <c r="G1322">
        <v>2120</v>
      </c>
      <c r="H1322">
        <f t="shared" si="80"/>
        <v>-2.5956147717724218</v>
      </c>
      <c r="I1322">
        <v>7.46E-2</v>
      </c>
      <c r="J1322" t="str">
        <f t="shared" si="81"/>
        <v>CC[N+](CC)(CC)CC.[Cl-]C1=CC=C(C=C1)O</v>
      </c>
      <c r="K1322">
        <v>53</v>
      </c>
      <c r="M1322">
        <f t="shared" si="82"/>
        <v>5.4037971934950142E-2</v>
      </c>
      <c r="N1322">
        <f t="shared" si="83"/>
        <v>0.56432633069321636</v>
      </c>
    </row>
    <row r="1323" spans="1:14" x14ac:dyDescent="0.35">
      <c r="A1323">
        <v>1321</v>
      </c>
      <c r="B1323" t="s">
        <v>15</v>
      </c>
      <c r="C1323" t="s">
        <v>77</v>
      </c>
      <c r="D1323">
        <v>0.25</v>
      </c>
      <c r="E1323">
        <v>0.75</v>
      </c>
      <c r="F1323">
        <v>313.14999999999998</v>
      </c>
      <c r="G1323">
        <v>3410</v>
      </c>
      <c r="H1323">
        <f t="shared" si="80"/>
        <v>-2.1680542000364396</v>
      </c>
      <c r="I1323">
        <v>0.1144</v>
      </c>
      <c r="J1323" t="str">
        <f t="shared" si="81"/>
        <v>CC[N+](CC)(CC)CC.[Cl-]C1=CC=C(C=C1)O</v>
      </c>
      <c r="K1323">
        <v>53</v>
      </c>
      <c r="M1323">
        <f t="shared" si="82"/>
        <v>5.4037971934950142E-2</v>
      </c>
      <c r="N1323">
        <f t="shared" si="83"/>
        <v>1.2858046137103425</v>
      </c>
    </row>
    <row r="1324" spans="1:14" x14ac:dyDescent="0.35">
      <c r="A1324">
        <v>1322</v>
      </c>
      <c r="B1324" t="s">
        <v>15</v>
      </c>
      <c r="C1324" t="s">
        <v>77</v>
      </c>
      <c r="D1324">
        <v>0.25</v>
      </c>
      <c r="E1324">
        <v>0.75</v>
      </c>
      <c r="F1324">
        <v>313.14999999999998</v>
      </c>
      <c r="G1324">
        <v>5290</v>
      </c>
      <c r="H1324">
        <f t="shared" si="80"/>
        <v>-1.8911379132083337</v>
      </c>
      <c r="I1324">
        <v>0.15090000000000001</v>
      </c>
      <c r="J1324" t="str">
        <f t="shared" si="81"/>
        <v>CC[N+](CC)(CC)CC.[Cl-]C1=CC=C(C=C1)O</v>
      </c>
      <c r="K1324">
        <v>53</v>
      </c>
      <c r="M1324">
        <f t="shared" si="82"/>
        <v>5.4037971934950142E-2</v>
      </c>
      <c r="N1324">
        <f t="shared" si="83"/>
        <v>2.3372613362469297</v>
      </c>
    </row>
    <row r="1325" spans="1:14" x14ac:dyDescent="0.35">
      <c r="A1325">
        <v>1323</v>
      </c>
      <c r="B1325" t="s">
        <v>15</v>
      </c>
      <c r="C1325" t="s">
        <v>77</v>
      </c>
      <c r="D1325">
        <v>0.25</v>
      </c>
      <c r="E1325">
        <v>0.75</v>
      </c>
      <c r="F1325">
        <v>313.14999999999998</v>
      </c>
      <c r="G1325">
        <v>7260</v>
      </c>
      <c r="H1325">
        <f t="shared" si="80"/>
        <v>-1.652345413445377</v>
      </c>
      <c r="I1325">
        <v>0.19159999999999999</v>
      </c>
      <c r="J1325" t="str">
        <f t="shared" si="81"/>
        <v>CC[N+](CC)(CC)CC.[Cl-]C1=CC=C(C=C1)O</v>
      </c>
      <c r="K1325">
        <v>53</v>
      </c>
      <c r="M1325">
        <f t="shared" si="82"/>
        <v>5.4037971934950142E-2</v>
      </c>
      <c r="N1325">
        <f t="shared" si="83"/>
        <v>3.439053752947502</v>
      </c>
    </row>
    <row r="1326" spans="1:14" x14ac:dyDescent="0.35">
      <c r="A1326">
        <v>1324</v>
      </c>
      <c r="B1326" t="s">
        <v>15</v>
      </c>
      <c r="C1326" t="s">
        <v>77</v>
      </c>
      <c r="D1326">
        <v>0.25</v>
      </c>
      <c r="E1326">
        <v>0.75</v>
      </c>
      <c r="F1326">
        <v>313.14999999999998</v>
      </c>
      <c r="G1326">
        <v>8240</v>
      </c>
      <c r="H1326">
        <f t="shared" si="80"/>
        <v>-1.5525851008413176</v>
      </c>
      <c r="I1326">
        <v>0.2117</v>
      </c>
      <c r="J1326" t="str">
        <f t="shared" si="81"/>
        <v>CC[N+](CC)(CC)CC.[Cl-]C1=CC=C(C=C1)O</v>
      </c>
      <c r="K1326">
        <v>53</v>
      </c>
      <c r="M1326">
        <f t="shared" si="82"/>
        <v>5.4037971934950142E-2</v>
      </c>
      <c r="N1326">
        <f t="shared" si="83"/>
        <v>3.9871535338442334</v>
      </c>
    </row>
    <row r="1327" spans="1:14" x14ac:dyDescent="0.35">
      <c r="A1327">
        <v>1325</v>
      </c>
      <c r="B1327" t="s">
        <v>15</v>
      </c>
      <c r="C1327" t="s">
        <v>77</v>
      </c>
      <c r="D1327">
        <v>0.25</v>
      </c>
      <c r="E1327">
        <v>0.75</v>
      </c>
      <c r="F1327">
        <v>313.14999999999998</v>
      </c>
      <c r="G1327">
        <v>9430</v>
      </c>
      <c r="H1327">
        <f t="shared" si="80"/>
        <v>-1.5086880093339572</v>
      </c>
      <c r="I1327">
        <v>0.22120000000000001</v>
      </c>
      <c r="J1327" t="str">
        <f t="shared" si="81"/>
        <v>CC[N+](CC)(CC)CC.[Cl-]C1=CC=C(C=C1)O</v>
      </c>
      <c r="K1327">
        <v>53</v>
      </c>
      <c r="M1327">
        <f t="shared" si="82"/>
        <v>5.4037971934950142E-2</v>
      </c>
      <c r="N1327">
        <f t="shared" si="83"/>
        <v>4.6527032677902644</v>
      </c>
    </row>
    <row r="1328" spans="1:14" x14ac:dyDescent="0.35">
      <c r="A1328">
        <v>1326</v>
      </c>
      <c r="B1328" t="s">
        <v>15</v>
      </c>
      <c r="C1328" t="s">
        <v>77</v>
      </c>
      <c r="D1328">
        <v>0.25</v>
      </c>
      <c r="E1328">
        <v>0.75</v>
      </c>
      <c r="F1328">
        <v>313.14999999999998</v>
      </c>
      <c r="G1328">
        <v>11170</v>
      </c>
      <c r="H1328">
        <f t="shared" si="80"/>
        <v>-1.4567168254164364</v>
      </c>
      <c r="I1328">
        <v>0.23300000000000001</v>
      </c>
      <c r="J1328" t="str">
        <f t="shared" si="81"/>
        <v>CC[N+](CC)(CC)CC.[Cl-]C1=CC=C(C=C1)O</v>
      </c>
      <c r="K1328">
        <v>53</v>
      </c>
      <c r="M1328">
        <f t="shared" si="82"/>
        <v>5.4037971934950142E-2</v>
      </c>
      <c r="N1328">
        <f t="shared" si="83"/>
        <v>5.6258600216273189</v>
      </c>
    </row>
    <row r="1329" spans="1:14" x14ac:dyDescent="0.35">
      <c r="A1329">
        <v>1327</v>
      </c>
      <c r="B1329" t="s">
        <v>11</v>
      </c>
      <c r="C1329" t="s">
        <v>51</v>
      </c>
      <c r="D1329">
        <v>0.25</v>
      </c>
      <c r="E1329">
        <v>0.75</v>
      </c>
      <c r="F1329">
        <v>303.14999999999998</v>
      </c>
      <c r="G1329">
        <v>556</v>
      </c>
      <c r="H1329">
        <f t="shared" si="80"/>
        <v>-2.8524981054680834</v>
      </c>
      <c r="I1329">
        <v>5.7700000000000001E-2</v>
      </c>
      <c r="J1329" t="str">
        <f t="shared" si="81"/>
        <v>CCCC[N+](CCCC)(CCCC)CCCC.[Br-]CCCCCC(=O)O</v>
      </c>
      <c r="K1329">
        <v>31</v>
      </c>
      <c r="M1329">
        <f t="shared" si="82"/>
        <v>-0.72967870461249518</v>
      </c>
      <c r="N1329">
        <f t="shared" si="83"/>
        <v>-0.31039617677871023</v>
      </c>
    </row>
    <row r="1330" spans="1:14" x14ac:dyDescent="0.35">
      <c r="A1330">
        <v>1328</v>
      </c>
      <c r="B1330" t="s">
        <v>11</v>
      </c>
      <c r="C1330" t="s">
        <v>51</v>
      </c>
      <c r="D1330">
        <v>0.25</v>
      </c>
      <c r="E1330">
        <v>0.75</v>
      </c>
      <c r="F1330">
        <v>303.14999999999998</v>
      </c>
      <c r="G1330">
        <v>650</v>
      </c>
      <c r="H1330">
        <f t="shared" si="80"/>
        <v>-2.695627681103653</v>
      </c>
      <c r="I1330">
        <v>6.7500000000000004E-2</v>
      </c>
      <c r="J1330" t="str">
        <f t="shared" si="81"/>
        <v>CCCC[N+](CCCC)(CCCC)CCCC.[Br-]CCCCCC(=O)O</v>
      </c>
      <c r="K1330">
        <v>31</v>
      </c>
      <c r="M1330">
        <f t="shared" si="82"/>
        <v>-0.72967870461249518</v>
      </c>
      <c r="N1330">
        <f t="shared" si="83"/>
        <v>-0.25782334065188089</v>
      </c>
    </row>
    <row r="1331" spans="1:14" x14ac:dyDescent="0.35">
      <c r="A1331">
        <v>1329</v>
      </c>
      <c r="B1331" t="s">
        <v>11</v>
      </c>
      <c r="C1331" t="s">
        <v>51</v>
      </c>
      <c r="D1331">
        <v>0.25</v>
      </c>
      <c r="E1331">
        <v>0.75</v>
      </c>
      <c r="F1331">
        <v>303.14999999999998</v>
      </c>
      <c r="G1331">
        <v>747</v>
      </c>
      <c r="H1331">
        <f t="shared" si="80"/>
        <v>-2.5484856314308715</v>
      </c>
      <c r="I1331">
        <v>7.8200000000000006E-2</v>
      </c>
      <c r="J1331" t="str">
        <f t="shared" si="81"/>
        <v>CCCC[N+](CCCC)(CCCC)CCCC.[Br-]CCCCCC(=O)O</v>
      </c>
      <c r="K1331">
        <v>31</v>
      </c>
      <c r="M1331">
        <f t="shared" si="82"/>
        <v>-0.72967870461249518</v>
      </c>
      <c r="N1331">
        <f t="shared" si="83"/>
        <v>-0.20357264805291866</v>
      </c>
    </row>
    <row r="1332" spans="1:14" x14ac:dyDescent="0.35">
      <c r="A1332">
        <v>1330</v>
      </c>
      <c r="B1332" t="s">
        <v>11</v>
      </c>
      <c r="C1332" t="s">
        <v>51</v>
      </c>
      <c r="D1332">
        <v>0.25</v>
      </c>
      <c r="E1332">
        <v>0.75</v>
      </c>
      <c r="F1332">
        <v>303.14999999999998</v>
      </c>
      <c r="G1332">
        <v>910</v>
      </c>
      <c r="H1332">
        <f t="shared" si="80"/>
        <v>-2.3708639337473403</v>
      </c>
      <c r="I1332">
        <v>9.3399999999999997E-2</v>
      </c>
      <c r="J1332" t="str">
        <f t="shared" si="81"/>
        <v>CCCC[N+](CCCC)(CCCC)CCCC.[Br-]CCCCCC(=O)O</v>
      </c>
      <c r="K1332">
        <v>31</v>
      </c>
      <c r="M1332">
        <f t="shared" si="82"/>
        <v>-0.72967870461249518</v>
      </c>
      <c r="N1332">
        <f t="shared" si="83"/>
        <v>-0.11240911306703374</v>
      </c>
    </row>
    <row r="1333" spans="1:14" x14ac:dyDescent="0.35">
      <c r="A1333">
        <v>1331</v>
      </c>
      <c r="B1333" t="s">
        <v>11</v>
      </c>
      <c r="C1333" t="s">
        <v>51</v>
      </c>
      <c r="D1333">
        <v>0.25</v>
      </c>
      <c r="E1333">
        <v>0.75</v>
      </c>
      <c r="F1333">
        <v>303.14999999999998</v>
      </c>
      <c r="G1333">
        <v>987</v>
      </c>
      <c r="H1333">
        <f t="shared" si="80"/>
        <v>-2.2916451529557116</v>
      </c>
      <c r="I1333">
        <v>0.1011</v>
      </c>
      <c r="J1333" t="str">
        <f t="shared" si="81"/>
        <v>CCCC[N+](CCCC)(CCCC)CCCC.[Br-]CCCCCC(=O)O</v>
      </c>
      <c r="K1333">
        <v>31</v>
      </c>
      <c r="M1333">
        <f t="shared" si="82"/>
        <v>-0.72967870461249518</v>
      </c>
      <c r="N1333">
        <f t="shared" si="83"/>
        <v>-6.9344130282290542E-2</v>
      </c>
    </row>
    <row r="1334" spans="1:14" x14ac:dyDescent="0.35">
      <c r="A1334">
        <v>1332</v>
      </c>
      <c r="B1334" t="s">
        <v>11</v>
      </c>
      <c r="C1334" t="s">
        <v>51</v>
      </c>
      <c r="D1334">
        <v>0.25</v>
      </c>
      <c r="E1334">
        <v>0.75</v>
      </c>
      <c r="F1334">
        <v>303.14999999999998</v>
      </c>
      <c r="G1334">
        <v>1090</v>
      </c>
      <c r="H1334">
        <f t="shared" si="80"/>
        <v>-2.1821389399181785</v>
      </c>
      <c r="I1334">
        <v>0.1128</v>
      </c>
      <c r="J1334" t="str">
        <f t="shared" si="81"/>
        <v>CCCC[N+](CCCC)(CCCC)CCCC.[Br-]CCCCCC(=O)O</v>
      </c>
      <c r="K1334">
        <v>31</v>
      </c>
      <c r="M1334">
        <f t="shared" si="82"/>
        <v>-0.72967870461249518</v>
      </c>
      <c r="N1334">
        <f t="shared" si="83"/>
        <v>-1.1737724739062644E-2</v>
      </c>
    </row>
    <row r="1335" spans="1:14" x14ac:dyDescent="0.35">
      <c r="A1335">
        <v>1333</v>
      </c>
      <c r="B1335" t="s">
        <v>11</v>
      </c>
      <c r="C1335" t="s">
        <v>51</v>
      </c>
      <c r="D1335">
        <v>0.25</v>
      </c>
      <c r="E1335">
        <v>0.75</v>
      </c>
      <c r="F1335">
        <v>303.14999999999998</v>
      </c>
      <c r="G1335">
        <v>1183</v>
      </c>
      <c r="H1335">
        <f t="shared" si="80"/>
        <v>-2.1136189934814222</v>
      </c>
      <c r="I1335">
        <v>0.1208</v>
      </c>
      <c r="J1335" t="str">
        <f t="shared" si="81"/>
        <v>CCCC[N+](CCCC)(CCCC)CCCC.[Br-]CCCCCC(=O)O</v>
      </c>
      <c r="K1335">
        <v>31</v>
      </c>
      <c r="M1335">
        <f t="shared" si="82"/>
        <v>-0.72967870461249518</v>
      </c>
      <c r="N1335">
        <f t="shared" si="83"/>
        <v>4.0275825897055757E-2</v>
      </c>
    </row>
    <row r="1336" spans="1:14" x14ac:dyDescent="0.35">
      <c r="A1336">
        <v>1334</v>
      </c>
      <c r="B1336" t="s">
        <v>11</v>
      </c>
      <c r="C1336" t="s">
        <v>51</v>
      </c>
      <c r="D1336">
        <v>0.25</v>
      </c>
      <c r="E1336">
        <v>0.75</v>
      </c>
      <c r="F1336">
        <v>313.14999999999998</v>
      </c>
      <c r="G1336">
        <v>466</v>
      </c>
      <c r="H1336">
        <f t="shared" si="80"/>
        <v>-3.2365307601069215</v>
      </c>
      <c r="I1336">
        <v>3.9300000000000002E-2</v>
      </c>
      <c r="J1336" t="str">
        <f t="shared" si="81"/>
        <v>CCCC[N+](CCCC)(CCCC)CCCC.[Br-]CCCCCC(=O)O</v>
      </c>
      <c r="K1336">
        <v>31</v>
      </c>
      <c r="M1336">
        <f t="shared" si="82"/>
        <v>5.4037971934950142E-2</v>
      </c>
      <c r="N1336">
        <f t="shared" si="83"/>
        <v>-0.36073187094269576</v>
      </c>
    </row>
    <row r="1337" spans="1:14" x14ac:dyDescent="0.35">
      <c r="A1337">
        <v>1335</v>
      </c>
      <c r="B1337" t="s">
        <v>11</v>
      </c>
      <c r="C1337" t="s">
        <v>51</v>
      </c>
      <c r="D1337">
        <v>0.25</v>
      </c>
      <c r="E1337">
        <v>0.75</v>
      </c>
      <c r="F1337">
        <v>313.14999999999998</v>
      </c>
      <c r="G1337">
        <v>580</v>
      </c>
      <c r="H1337">
        <f t="shared" si="80"/>
        <v>-2.985781942700823</v>
      </c>
      <c r="I1337">
        <v>5.0500000000000003E-2</v>
      </c>
      <c r="J1337" t="str">
        <f t="shared" si="81"/>
        <v>CCCC[N+](CCCC)(CCCC)CCCC.[Br-]CCCCCC(=O)O</v>
      </c>
      <c r="K1337">
        <v>31</v>
      </c>
      <c r="M1337">
        <f t="shared" si="82"/>
        <v>5.4037971934950142E-2</v>
      </c>
      <c r="N1337">
        <f t="shared" si="83"/>
        <v>-0.29697332500164741</v>
      </c>
    </row>
    <row r="1338" spans="1:14" x14ac:dyDescent="0.35">
      <c r="A1338">
        <v>1336</v>
      </c>
      <c r="B1338" t="s">
        <v>11</v>
      </c>
      <c r="C1338" t="s">
        <v>51</v>
      </c>
      <c r="D1338">
        <v>0.25</v>
      </c>
      <c r="E1338">
        <v>0.75</v>
      </c>
      <c r="F1338">
        <v>313.14999999999998</v>
      </c>
      <c r="G1338">
        <v>688</v>
      </c>
      <c r="H1338">
        <f t="shared" si="80"/>
        <v>-2.8752861204781239</v>
      </c>
      <c r="I1338">
        <v>5.6399999999999999E-2</v>
      </c>
      <c r="J1338" t="str">
        <f t="shared" si="81"/>
        <v>CCCC[N+](CCCC)(CCCC)CCCC.[Br-]CCCCCC(=O)O</v>
      </c>
      <c r="K1338">
        <v>31</v>
      </c>
      <c r="M1338">
        <f t="shared" si="82"/>
        <v>5.4037971934950142E-2</v>
      </c>
      <c r="N1338">
        <f t="shared" si="83"/>
        <v>-0.23657049200486474</v>
      </c>
    </row>
    <row r="1339" spans="1:14" x14ac:dyDescent="0.35">
      <c r="A1339">
        <v>1337</v>
      </c>
      <c r="B1339" t="s">
        <v>11</v>
      </c>
      <c r="C1339" t="s">
        <v>51</v>
      </c>
      <c r="D1339">
        <v>0.25</v>
      </c>
      <c r="E1339">
        <v>0.75</v>
      </c>
      <c r="F1339">
        <v>313.14999999999998</v>
      </c>
      <c r="G1339">
        <v>838</v>
      </c>
      <c r="H1339">
        <f t="shared" si="80"/>
        <v>-2.6408589515618868</v>
      </c>
      <c r="I1339">
        <v>7.1300000000000002E-2</v>
      </c>
      <c r="J1339" t="str">
        <f t="shared" si="81"/>
        <v>CCCC[N+](CCCC)(CCCC)CCCC.[Br-]CCCCCC(=O)O</v>
      </c>
      <c r="K1339">
        <v>31</v>
      </c>
      <c r="M1339">
        <f t="shared" si="82"/>
        <v>5.4037971934950142E-2</v>
      </c>
      <c r="N1339">
        <f t="shared" si="83"/>
        <v>-0.15267766839822217</v>
      </c>
    </row>
    <row r="1340" spans="1:14" x14ac:dyDescent="0.35">
      <c r="A1340">
        <v>1338</v>
      </c>
      <c r="B1340" t="s">
        <v>11</v>
      </c>
      <c r="C1340" t="s">
        <v>51</v>
      </c>
      <c r="D1340">
        <v>0.25</v>
      </c>
      <c r="E1340">
        <v>0.75</v>
      </c>
      <c r="F1340">
        <v>313.14999999999998</v>
      </c>
      <c r="G1340">
        <v>946</v>
      </c>
      <c r="H1340">
        <f t="shared" si="80"/>
        <v>-2.5307411861317997</v>
      </c>
      <c r="I1340">
        <v>7.9600000000000004E-2</v>
      </c>
      <c r="J1340" t="str">
        <f t="shared" si="81"/>
        <v>CCCC[N+](CCCC)(CCCC)CCCC.[Br-]CCCCCC(=O)O</v>
      </c>
      <c r="K1340">
        <v>31</v>
      </c>
      <c r="M1340">
        <f t="shared" si="82"/>
        <v>5.4037971934950142E-2</v>
      </c>
      <c r="N1340">
        <f t="shared" si="83"/>
        <v>-9.227483540143952E-2</v>
      </c>
    </row>
    <row r="1341" spans="1:14" x14ac:dyDescent="0.35">
      <c r="A1341">
        <v>1339</v>
      </c>
      <c r="B1341" t="s">
        <v>11</v>
      </c>
      <c r="C1341" t="s">
        <v>51</v>
      </c>
      <c r="D1341">
        <v>0.25</v>
      </c>
      <c r="E1341">
        <v>0.75</v>
      </c>
      <c r="F1341">
        <v>313.14999999999998</v>
      </c>
      <c r="G1341">
        <v>1044</v>
      </c>
      <c r="H1341">
        <f t="shared" si="80"/>
        <v>-2.4453013951956408</v>
      </c>
      <c r="I1341">
        <v>8.6699999999999999E-2</v>
      </c>
      <c r="J1341" t="str">
        <f t="shared" si="81"/>
        <v>CCCC[N+](CCCC)(CCCC)CCCC.[Br-]CCCCCC(=O)O</v>
      </c>
      <c r="K1341">
        <v>31</v>
      </c>
      <c r="M1341">
        <f t="shared" si="82"/>
        <v>5.4037971934950142E-2</v>
      </c>
      <c r="N1341">
        <f t="shared" si="83"/>
        <v>-3.7464857311766367E-2</v>
      </c>
    </row>
    <row r="1342" spans="1:14" x14ac:dyDescent="0.35">
      <c r="A1342">
        <v>1340</v>
      </c>
      <c r="B1342" t="s">
        <v>11</v>
      </c>
      <c r="C1342" t="s">
        <v>51</v>
      </c>
      <c r="D1342">
        <v>0.25</v>
      </c>
      <c r="E1342">
        <v>0.75</v>
      </c>
      <c r="F1342">
        <v>313.14999999999998</v>
      </c>
      <c r="G1342">
        <v>1146</v>
      </c>
      <c r="H1342">
        <f t="shared" si="80"/>
        <v>-2.3570412787901045</v>
      </c>
      <c r="I1342">
        <v>9.4700000000000006E-2</v>
      </c>
      <c r="J1342" t="str">
        <f t="shared" si="81"/>
        <v>CCCC[N+](CCCC)(CCCC)CCCC.[Br-]CCCCCC(=O)O</v>
      </c>
      <c r="K1342">
        <v>31</v>
      </c>
      <c r="M1342">
        <f t="shared" si="82"/>
        <v>5.4037971934950142E-2</v>
      </c>
      <c r="N1342">
        <f t="shared" si="83"/>
        <v>1.9582262740750585E-2</v>
      </c>
    </row>
    <row r="1343" spans="1:14" x14ac:dyDescent="0.35">
      <c r="A1343">
        <v>1341</v>
      </c>
      <c r="B1343" t="s">
        <v>11</v>
      </c>
      <c r="C1343" t="s">
        <v>51</v>
      </c>
      <c r="D1343">
        <v>0.25</v>
      </c>
      <c r="E1343">
        <v>0.75</v>
      </c>
      <c r="F1343">
        <v>323.14999999999998</v>
      </c>
      <c r="G1343">
        <v>502</v>
      </c>
      <c r="H1343">
        <f t="shared" si="80"/>
        <v>-3.366795954944823</v>
      </c>
      <c r="I1343">
        <v>3.4500000000000003E-2</v>
      </c>
      <c r="J1343" t="str">
        <f t="shared" si="81"/>
        <v>CCCC[N+](CCCC)(CCCC)CCCC.[Br-]CCCCCC(=O)O</v>
      </c>
      <c r="K1343">
        <v>31</v>
      </c>
      <c r="M1343">
        <f t="shared" si="82"/>
        <v>0.83775464848239545</v>
      </c>
      <c r="N1343">
        <f t="shared" si="83"/>
        <v>-0.34059759327710154</v>
      </c>
    </row>
    <row r="1344" spans="1:14" x14ac:dyDescent="0.35">
      <c r="A1344">
        <v>1342</v>
      </c>
      <c r="B1344" t="s">
        <v>11</v>
      </c>
      <c r="C1344" t="s">
        <v>51</v>
      </c>
      <c r="D1344">
        <v>0.25</v>
      </c>
      <c r="E1344">
        <v>0.75</v>
      </c>
      <c r="F1344">
        <v>323.14999999999998</v>
      </c>
      <c r="G1344">
        <v>644</v>
      </c>
      <c r="H1344">
        <f t="shared" si="80"/>
        <v>-3.1442322818724349</v>
      </c>
      <c r="I1344">
        <v>4.3099999999999999E-2</v>
      </c>
      <c r="J1344" t="str">
        <f t="shared" si="81"/>
        <v>CCCC[N+](CCCC)(CCCC)CCCC.[Br-]CCCCCC(=O)O</v>
      </c>
      <c r="K1344">
        <v>31</v>
      </c>
      <c r="M1344">
        <f t="shared" si="82"/>
        <v>0.83775464848239545</v>
      </c>
      <c r="N1344">
        <f t="shared" si="83"/>
        <v>-0.26117905359614657</v>
      </c>
    </row>
    <row r="1345" spans="1:14" x14ac:dyDescent="0.35">
      <c r="A1345">
        <v>1343</v>
      </c>
      <c r="B1345" t="s">
        <v>11</v>
      </c>
      <c r="C1345" t="s">
        <v>51</v>
      </c>
      <c r="D1345">
        <v>0.25</v>
      </c>
      <c r="E1345">
        <v>0.75</v>
      </c>
      <c r="F1345">
        <v>323.14999999999998</v>
      </c>
      <c r="G1345">
        <v>748</v>
      </c>
      <c r="H1345">
        <f t="shared" si="80"/>
        <v>-2.9150743705365367</v>
      </c>
      <c r="I1345">
        <v>5.4199999999999998E-2</v>
      </c>
      <c r="J1345" t="str">
        <f t="shared" si="81"/>
        <v>CCCC[N+](CCCC)(CCCC)CCCC.[Br-]CCCCCC(=O)O</v>
      </c>
      <c r="K1345">
        <v>31</v>
      </c>
      <c r="M1345">
        <f t="shared" si="82"/>
        <v>0.83775464848239545</v>
      </c>
      <c r="N1345">
        <f t="shared" si="83"/>
        <v>-0.20301336256220773</v>
      </c>
    </row>
    <row r="1346" spans="1:14" x14ac:dyDescent="0.35">
      <c r="A1346">
        <v>1344</v>
      </c>
      <c r="B1346" t="s">
        <v>11</v>
      </c>
      <c r="C1346" t="s">
        <v>51</v>
      </c>
      <c r="D1346">
        <v>0.25</v>
      </c>
      <c r="E1346">
        <v>0.75</v>
      </c>
      <c r="F1346">
        <v>323.14999999999998</v>
      </c>
      <c r="G1346">
        <v>861</v>
      </c>
      <c r="H1346">
        <f t="shared" si="80"/>
        <v>-2.8117454374409752</v>
      </c>
      <c r="I1346">
        <v>6.0100000000000001E-2</v>
      </c>
      <c r="J1346" t="str">
        <f t="shared" si="81"/>
        <v>CCCC[N+](CCCC)(CCCC)CCCC.[Br-]CCCCCC(=O)O</v>
      </c>
      <c r="K1346">
        <v>31</v>
      </c>
      <c r="M1346">
        <f t="shared" si="82"/>
        <v>0.83775464848239545</v>
      </c>
      <c r="N1346">
        <f t="shared" si="83"/>
        <v>-0.13981410211187031</v>
      </c>
    </row>
    <row r="1347" spans="1:14" x14ac:dyDescent="0.35">
      <c r="A1347">
        <v>1345</v>
      </c>
      <c r="B1347" t="s">
        <v>11</v>
      </c>
      <c r="C1347" t="s">
        <v>51</v>
      </c>
      <c r="D1347">
        <v>0.25</v>
      </c>
      <c r="E1347">
        <v>0.75</v>
      </c>
      <c r="F1347">
        <v>323.14999999999998</v>
      </c>
      <c r="G1347">
        <v>977</v>
      </c>
      <c r="H1347">
        <f t="shared" ref="H1347:H1410" si="84">LN(I1347)</f>
        <v>-2.6707544163585131</v>
      </c>
      <c r="I1347">
        <v>6.9199999999999998E-2</v>
      </c>
      <c r="J1347" t="str">
        <f t="shared" ref="J1347:J1410" si="85">_xlfn.CONCAT(B1347,C1347)</f>
        <v>CCCC[N+](CCCC)(CCCC)CCCC.[Br-]CCCCCC(=O)O</v>
      </c>
      <c r="K1347">
        <v>31</v>
      </c>
      <c r="M1347">
        <f t="shared" ref="M1347:M1410" si="86">(F1347-$L$3)/$L$2</f>
        <v>0.83775464848239545</v>
      </c>
      <c r="N1347">
        <f t="shared" ref="N1347:N1410" si="87">(G1347-$L$6)/$L$5</f>
        <v>-7.4936985189400049E-2</v>
      </c>
    </row>
    <row r="1348" spans="1:14" x14ac:dyDescent="0.35">
      <c r="A1348">
        <v>1346</v>
      </c>
      <c r="B1348" t="s">
        <v>11</v>
      </c>
      <c r="C1348" t="s">
        <v>51</v>
      </c>
      <c r="D1348">
        <v>0.25</v>
      </c>
      <c r="E1348">
        <v>0.75</v>
      </c>
      <c r="F1348">
        <v>323.14999999999998</v>
      </c>
      <c r="G1348">
        <v>1083</v>
      </c>
      <c r="H1348">
        <f t="shared" si="84"/>
        <v>-2.6255489795904663</v>
      </c>
      <c r="I1348">
        <v>7.2400000000000006E-2</v>
      </c>
      <c r="J1348" t="str">
        <f t="shared" si="85"/>
        <v>CCCC[N+](CCCC)(CCCC)CCCC.[Br-]CCCCCC(=O)O</v>
      </c>
      <c r="K1348">
        <v>31</v>
      </c>
      <c r="M1348">
        <f t="shared" si="86"/>
        <v>0.83775464848239545</v>
      </c>
      <c r="N1348">
        <f t="shared" si="87"/>
        <v>-1.5652723174039297E-2</v>
      </c>
    </row>
    <row r="1349" spans="1:14" x14ac:dyDescent="0.35">
      <c r="A1349">
        <v>1347</v>
      </c>
      <c r="B1349" t="s">
        <v>11</v>
      </c>
      <c r="C1349" t="s">
        <v>51</v>
      </c>
      <c r="D1349">
        <v>0.25</v>
      </c>
      <c r="E1349">
        <v>0.75</v>
      </c>
      <c r="F1349">
        <v>323.14999999999998</v>
      </c>
      <c r="G1349">
        <v>1112</v>
      </c>
      <c r="H1349">
        <f t="shared" si="84"/>
        <v>-2.57</v>
      </c>
      <c r="I1349">
        <v>7.6535545423911513E-2</v>
      </c>
      <c r="J1349" t="str">
        <f t="shared" si="85"/>
        <v>CCCC[N+](CCCC)(CCCC)CCCC.[Br-]CCCCCC(=O)O</v>
      </c>
      <c r="K1349">
        <v>31</v>
      </c>
      <c r="M1349">
        <f t="shared" si="86"/>
        <v>0.83775464848239545</v>
      </c>
      <c r="N1349">
        <f t="shared" si="87"/>
        <v>5.6655605657826829E-4</v>
      </c>
    </row>
    <row r="1350" spans="1:14" x14ac:dyDescent="0.35">
      <c r="A1350">
        <v>1348</v>
      </c>
      <c r="B1350" t="s">
        <v>25</v>
      </c>
      <c r="C1350" t="s">
        <v>35</v>
      </c>
      <c r="D1350">
        <v>0.22222222222222221</v>
      </c>
      <c r="E1350">
        <v>0.77777777777777779</v>
      </c>
      <c r="F1350">
        <v>308.14999999999998</v>
      </c>
      <c r="G1350">
        <v>185.5</v>
      </c>
      <c r="H1350">
        <f t="shared" si="84"/>
        <v>-5.4</v>
      </c>
      <c r="I1350">
        <v>4.5165809426126659E-3</v>
      </c>
      <c r="J1350" t="str">
        <f t="shared" si="85"/>
        <v>C[N+](C)(C)CC(=O)[O-]CC(CO)O</v>
      </c>
      <c r="K1350">
        <v>72</v>
      </c>
      <c r="M1350">
        <f t="shared" si="86"/>
        <v>-0.33782036633877249</v>
      </c>
      <c r="N1350">
        <f t="shared" si="87"/>
        <v>-0.51761145108711737</v>
      </c>
    </row>
    <row r="1351" spans="1:14" x14ac:dyDescent="0.35">
      <c r="A1351">
        <v>1349</v>
      </c>
      <c r="B1351" t="s">
        <v>25</v>
      </c>
      <c r="C1351" t="s">
        <v>35</v>
      </c>
      <c r="D1351">
        <v>0.22222222222222221</v>
      </c>
      <c r="E1351">
        <v>0.77777777777777779</v>
      </c>
      <c r="F1351">
        <v>308.14999999999998</v>
      </c>
      <c r="G1351">
        <v>297.8</v>
      </c>
      <c r="H1351">
        <f t="shared" si="84"/>
        <v>-4.8899999999999997</v>
      </c>
      <c r="I1351">
        <v>7.5214224749932702E-3</v>
      </c>
      <c r="J1351" t="str">
        <f t="shared" si="85"/>
        <v>C[N+](C)(C)CC(=O)[O-]CC(CO)O</v>
      </c>
      <c r="K1351">
        <v>72</v>
      </c>
      <c r="M1351">
        <f t="shared" si="86"/>
        <v>-0.33782036633877249</v>
      </c>
      <c r="N1351">
        <f t="shared" si="87"/>
        <v>-0.45480369048027769</v>
      </c>
    </row>
    <row r="1352" spans="1:14" x14ac:dyDescent="0.35">
      <c r="A1352">
        <v>1350</v>
      </c>
      <c r="B1352" t="s">
        <v>25</v>
      </c>
      <c r="C1352" t="s">
        <v>35</v>
      </c>
      <c r="D1352">
        <v>0.22222222222222221</v>
      </c>
      <c r="E1352">
        <v>0.77777777777777779</v>
      </c>
      <c r="F1352">
        <v>308.14999999999998</v>
      </c>
      <c r="G1352">
        <v>401.5</v>
      </c>
      <c r="H1352">
        <f t="shared" si="84"/>
        <v>-4.55</v>
      </c>
      <c r="I1352">
        <v>1.0567204383852655E-2</v>
      </c>
      <c r="J1352" t="str">
        <f t="shared" si="85"/>
        <v>C[N+](C)(C)CC(=O)[O-]CC(CO)O</v>
      </c>
      <c r="K1352">
        <v>72</v>
      </c>
      <c r="M1352">
        <f t="shared" si="86"/>
        <v>-0.33782036633877249</v>
      </c>
      <c r="N1352">
        <f t="shared" si="87"/>
        <v>-0.39680578509355208</v>
      </c>
    </row>
    <row r="1353" spans="1:14" x14ac:dyDescent="0.35">
      <c r="A1353">
        <v>1351</v>
      </c>
      <c r="B1353" t="s">
        <v>25</v>
      </c>
      <c r="C1353" t="s">
        <v>35</v>
      </c>
      <c r="D1353">
        <v>0.22222222222222221</v>
      </c>
      <c r="E1353">
        <v>0.77777777777777779</v>
      </c>
      <c r="F1353">
        <v>308.14999999999998</v>
      </c>
      <c r="G1353">
        <v>502.3</v>
      </c>
      <c r="H1353">
        <f t="shared" si="84"/>
        <v>-4.34</v>
      </c>
      <c r="I1353">
        <v>1.3036528203437736E-2</v>
      </c>
      <c r="J1353" t="str">
        <f t="shared" si="85"/>
        <v>C[N+](C)(C)CC(=O)[O-]CC(CO)O</v>
      </c>
      <c r="K1353">
        <v>72</v>
      </c>
      <c r="M1353">
        <f t="shared" si="86"/>
        <v>-0.33782036633877249</v>
      </c>
      <c r="N1353">
        <f t="shared" si="87"/>
        <v>-0.34042980762988828</v>
      </c>
    </row>
    <row r="1354" spans="1:14" x14ac:dyDescent="0.35">
      <c r="A1354">
        <v>1352</v>
      </c>
      <c r="B1354" t="s">
        <v>25</v>
      </c>
      <c r="C1354" t="s">
        <v>35</v>
      </c>
      <c r="D1354">
        <v>0.22222222222222221</v>
      </c>
      <c r="E1354">
        <v>0.77777777777777779</v>
      </c>
      <c r="F1354">
        <v>308.14999999999998</v>
      </c>
      <c r="G1354">
        <v>602</v>
      </c>
      <c r="H1354">
        <f t="shared" si="84"/>
        <v>-4.1399999999999997</v>
      </c>
      <c r="I1354">
        <v>1.5922851504511698E-2</v>
      </c>
      <c r="J1354" t="str">
        <f t="shared" si="85"/>
        <v>C[N+](C)(C)CC(=O)[O-]CC(CO)O</v>
      </c>
      <c r="K1354">
        <v>72</v>
      </c>
      <c r="M1354">
        <f t="shared" si="86"/>
        <v>-0.33782036633877249</v>
      </c>
      <c r="N1354">
        <f t="shared" si="87"/>
        <v>-0.28466904420600647</v>
      </c>
    </row>
    <row r="1355" spans="1:14" x14ac:dyDescent="0.35">
      <c r="A1355">
        <v>1353</v>
      </c>
      <c r="B1355" t="s">
        <v>25</v>
      </c>
      <c r="C1355" t="s">
        <v>35</v>
      </c>
      <c r="D1355">
        <v>0.22222222222222221</v>
      </c>
      <c r="E1355">
        <v>0.77777777777777779</v>
      </c>
      <c r="F1355">
        <v>318.14999999999998</v>
      </c>
      <c r="G1355">
        <v>195</v>
      </c>
      <c r="H1355">
        <f t="shared" si="84"/>
        <v>-5.52</v>
      </c>
      <c r="I1355">
        <v>4.0058479420904203E-3</v>
      </c>
      <c r="J1355" t="str">
        <f t="shared" si="85"/>
        <v>C[N+](C)(C)CC(=O)[O-]CC(CO)O</v>
      </c>
      <c r="K1355">
        <v>72</v>
      </c>
      <c r="M1355">
        <f t="shared" si="86"/>
        <v>0.44589631020867276</v>
      </c>
      <c r="N1355">
        <f t="shared" si="87"/>
        <v>-0.51229823892536341</v>
      </c>
    </row>
    <row r="1356" spans="1:14" x14ac:dyDescent="0.35">
      <c r="A1356">
        <v>1354</v>
      </c>
      <c r="B1356" t="s">
        <v>25</v>
      </c>
      <c r="C1356" t="s">
        <v>35</v>
      </c>
      <c r="D1356">
        <v>0.22222222222222221</v>
      </c>
      <c r="E1356">
        <v>0.77777777777777779</v>
      </c>
      <c r="F1356">
        <v>318.14999999999998</v>
      </c>
      <c r="G1356">
        <v>313</v>
      </c>
      <c r="H1356">
        <f t="shared" si="84"/>
        <v>-5.01</v>
      </c>
      <c r="I1356">
        <v>6.6709033062552743E-3</v>
      </c>
      <c r="J1356" t="str">
        <f t="shared" si="85"/>
        <v>C[N+](C)(C)CC(=O)[O-]CC(CO)O</v>
      </c>
      <c r="K1356">
        <v>72</v>
      </c>
      <c r="M1356">
        <f t="shared" si="86"/>
        <v>0.44589631020867276</v>
      </c>
      <c r="N1356">
        <f t="shared" si="87"/>
        <v>-0.44630255102147121</v>
      </c>
    </row>
    <row r="1357" spans="1:14" x14ac:dyDescent="0.35">
      <c r="A1357">
        <v>1355</v>
      </c>
      <c r="B1357" t="s">
        <v>25</v>
      </c>
      <c r="C1357" t="s">
        <v>35</v>
      </c>
      <c r="D1357">
        <v>0.22222222222222221</v>
      </c>
      <c r="E1357">
        <v>0.77777777777777779</v>
      </c>
      <c r="F1357">
        <v>318.14999999999998</v>
      </c>
      <c r="G1357">
        <v>430</v>
      </c>
      <c r="H1357">
        <f t="shared" si="84"/>
        <v>-4.6500000000000004</v>
      </c>
      <c r="I1357">
        <v>9.5616019305435045E-3</v>
      </c>
      <c r="J1357" t="str">
        <f t="shared" si="85"/>
        <v>C[N+](C)(C)CC(=O)[O-]CC(CO)O</v>
      </c>
      <c r="K1357">
        <v>72</v>
      </c>
      <c r="M1357">
        <f t="shared" si="86"/>
        <v>0.44589631020867276</v>
      </c>
      <c r="N1357">
        <f t="shared" si="87"/>
        <v>-0.38086614860828999</v>
      </c>
    </row>
    <row r="1358" spans="1:14" x14ac:dyDescent="0.35">
      <c r="A1358">
        <v>1356</v>
      </c>
      <c r="B1358" t="s">
        <v>25</v>
      </c>
      <c r="C1358" t="s">
        <v>35</v>
      </c>
      <c r="D1358">
        <v>0.22222222222222221</v>
      </c>
      <c r="E1358">
        <v>0.77777777777777779</v>
      </c>
      <c r="F1358">
        <v>318.14999999999998</v>
      </c>
      <c r="G1358">
        <v>527.79999999999995</v>
      </c>
      <c r="H1358">
        <f t="shared" si="84"/>
        <v>-4.43</v>
      </c>
      <c r="I1358">
        <v>1.1914489672789647E-2</v>
      </c>
      <c r="J1358" t="str">
        <f t="shared" si="85"/>
        <v>C[N+](C)(C)CC(=O)[O-]CC(CO)O</v>
      </c>
      <c r="K1358">
        <v>72</v>
      </c>
      <c r="M1358">
        <f t="shared" si="86"/>
        <v>0.44589631020867276</v>
      </c>
      <c r="N1358">
        <f t="shared" si="87"/>
        <v>-0.32616802761675906</v>
      </c>
    </row>
    <row r="1359" spans="1:14" x14ac:dyDescent="0.35">
      <c r="A1359">
        <v>1357</v>
      </c>
      <c r="B1359" t="s">
        <v>25</v>
      </c>
      <c r="C1359" t="s">
        <v>35</v>
      </c>
      <c r="D1359">
        <v>0.22222222222222221</v>
      </c>
      <c r="E1359">
        <v>0.77777777777777779</v>
      </c>
      <c r="F1359">
        <v>318.14999999999998</v>
      </c>
      <c r="G1359">
        <v>633</v>
      </c>
      <c r="H1359">
        <f t="shared" si="84"/>
        <v>-4.2300000000000004</v>
      </c>
      <c r="I1359">
        <v>1.4552390548416123E-2</v>
      </c>
      <c r="J1359" t="str">
        <f t="shared" si="85"/>
        <v>C[N+](C)(C)CC(=O)[O-]CC(CO)O</v>
      </c>
      <c r="K1359">
        <v>72</v>
      </c>
      <c r="M1359">
        <f t="shared" si="86"/>
        <v>0.44589631020867276</v>
      </c>
      <c r="N1359">
        <f t="shared" si="87"/>
        <v>-0.26733119399396704</v>
      </c>
    </row>
    <row r="1360" spans="1:14" x14ac:dyDescent="0.35">
      <c r="A1360">
        <v>1358</v>
      </c>
      <c r="B1360" t="s">
        <v>25</v>
      </c>
      <c r="C1360" t="s">
        <v>35</v>
      </c>
      <c r="D1360">
        <v>0.22222222222222221</v>
      </c>
      <c r="E1360">
        <v>0.77777777777777779</v>
      </c>
      <c r="F1360">
        <v>328.15</v>
      </c>
      <c r="G1360">
        <v>204.5</v>
      </c>
      <c r="H1360">
        <f t="shared" si="84"/>
        <v>-5.63</v>
      </c>
      <c r="I1360">
        <v>3.5885753273319477E-3</v>
      </c>
      <c r="J1360" t="str">
        <f t="shared" si="85"/>
        <v>C[N+](C)(C)CC(=O)[O-]CC(CO)O</v>
      </c>
      <c r="K1360">
        <v>72</v>
      </c>
      <c r="M1360">
        <f t="shared" si="86"/>
        <v>1.2296129867561181</v>
      </c>
      <c r="N1360">
        <f t="shared" si="87"/>
        <v>-0.50698502676360935</v>
      </c>
    </row>
    <row r="1361" spans="1:14" x14ac:dyDescent="0.35">
      <c r="A1361">
        <v>1359</v>
      </c>
      <c r="B1361" t="s">
        <v>25</v>
      </c>
      <c r="C1361" t="s">
        <v>35</v>
      </c>
      <c r="D1361">
        <v>0.22222222222222221</v>
      </c>
      <c r="E1361">
        <v>0.77777777777777779</v>
      </c>
      <c r="F1361">
        <v>328.15</v>
      </c>
      <c r="G1361">
        <v>327.8</v>
      </c>
      <c r="H1361">
        <f t="shared" si="84"/>
        <v>-5.0999999999999996</v>
      </c>
      <c r="I1361">
        <v>6.0967465655156379E-3</v>
      </c>
      <c r="J1361" t="str">
        <f t="shared" si="85"/>
        <v>C[N+](C)(C)CC(=O)[O-]CC(CO)O</v>
      </c>
      <c r="K1361">
        <v>72</v>
      </c>
      <c r="M1361">
        <f t="shared" si="86"/>
        <v>1.2296129867561181</v>
      </c>
      <c r="N1361">
        <f t="shared" si="87"/>
        <v>-0.43802512575894914</v>
      </c>
    </row>
    <row r="1362" spans="1:14" x14ac:dyDescent="0.35">
      <c r="A1362">
        <v>1360</v>
      </c>
      <c r="B1362" t="s">
        <v>25</v>
      </c>
      <c r="C1362" t="s">
        <v>35</v>
      </c>
      <c r="D1362">
        <v>0.22222222222222221</v>
      </c>
      <c r="E1362">
        <v>0.77777777777777779</v>
      </c>
      <c r="F1362">
        <v>328.15</v>
      </c>
      <c r="G1362">
        <v>442</v>
      </c>
      <c r="H1362">
        <f t="shared" si="84"/>
        <v>-4.7300000000000004</v>
      </c>
      <c r="I1362">
        <v>8.8264710397267226E-3</v>
      </c>
      <c r="J1362" t="str">
        <f t="shared" si="85"/>
        <v>C[N+](C)(C)CC(=O)[O-]CC(CO)O</v>
      </c>
      <c r="K1362">
        <v>72</v>
      </c>
      <c r="M1362">
        <f t="shared" si="86"/>
        <v>1.2296129867561181</v>
      </c>
      <c r="N1362">
        <f t="shared" si="87"/>
        <v>-0.37415472271975858</v>
      </c>
    </row>
    <row r="1363" spans="1:14" x14ac:dyDescent="0.35">
      <c r="A1363">
        <v>1361</v>
      </c>
      <c r="B1363" t="s">
        <v>25</v>
      </c>
      <c r="C1363" t="s">
        <v>35</v>
      </c>
      <c r="D1363">
        <v>0.22222222222222221</v>
      </c>
      <c r="E1363">
        <v>0.77777777777777779</v>
      </c>
      <c r="F1363">
        <v>328.15</v>
      </c>
      <c r="G1363">
        <v>552.5</v>
      </c>
      <c r="H1363">
        <f t="shared" si="84"/>
        <v>-4.5199999999999996</v>
      </c>
      <c r="I1363">
        <v>1.0889023668554451E-2</v>
      </c>
      <c r="J1363" t="str">
        <f t="shared" si="85"/>
        <v>C[N+](C)(C)CC(=O)[O-]CC(CO)O</v>
      </c>
      <c r="K1363">
        <v>72</v>
      </c>
      <c r="M1363">
        <f t="shared" si="86"/>
        <v>1.2296129867561181</v>
      </c>
      <c r="N1363">
        <f t="shared" si="87"/>
        <v>-0.31235367599619857</v>
      </c>
    </row>
    <row r="1364" spans="1:14" x14ac:dyDescent="0.35">
      <c r="A1364">
        <v>1362</v>
      </c>
      <c r="B1364" t="s">
        <v>25</v>
      </c>
      <c r="C1364" t="s">
        <v>35</v>
      </c>
      <c r="D1364">
        <v>0.22222222222222221</v>
      </c>
      <c r="E1364">
        <v>0.77777777777777779</v>
      </c>
      <c r="F1364">
        <v>328.15</v>
      </c>
      <c r="G1364">
        <v>662.8</v>
      </c>
      <c r="H1364">
        <f t="shared" si="84"/>
        <v>-4.3099999999999996</v>
      </c>
      <c r="I1364">
        <v>1.3433549594245314E-2</v>
      </c>
      <c r="J1364" t="str">
        <f t="shared" si="85"/>
        <v>C[N+](C)(C)CC(=O)[O-]CC(CO)O</v>
      </c>
      <c r="K1364">
        <v>72</v>
      </c>
      <c r="M1364">
        <f t="shared" si="86"/>
        <v>1.2296129867561181</v>
      </c>
      <c r="N1364">
        <f t="shared" si="87"/>
        <v>-0.25066448637078076</v>
      </c>
    </row>
    <row r="1365" spans="1:14" x14ac:dyDescent="0.35">
      <c r="A1365">
        <v>1363</v>
      </c>
      <c r="B1365" t="s">
        <v>25</v>
      </c>
      <c r="C1365" t="s">
        <v>35</v>
      </c>
      <c r="D1365">
        <v>0.22222222222222221</v>
      </c>
      <c r="E1365">
        <v>0.77777777777777779</v>
      </c>
      <c r="F1365">
        <v>338.15</v>
      </c>
      <c r="G1365">
        <v>213.5</v>
      </c>
      <c r="H1365">
        <f t="shared" si="84"/>
        <v>-5.71</v>
      </c>
      <c r="I1365">
        <v>3.3126725448998926E-3</v>
      </c>
      <c r="J1365" t="str">
        <f t="shared" si="85"/>
        <v>C[N+](C)(C)CC(=O)[O-]CC(CO)O</v>
      </c>
      <c r="K1365">
        <v>72</v>
      </c>
      <c r="M1365">
        <f t="shared" si="86"/>
        <v>2.0133296633035633</v>
      </c>
      <c r="N1365">
        <f t="shared" si="87"/>
        <v>-0.50195145734721081</v>
      </c>
    </row>
    <row r="1366" spans="1:14" x14ac:dyDescent="0.35">
      <c r="A1366">
        <v>1364</v>
      </c>
      <c r="B1366" t="s">
        <v>25</v>
      </c>
      <c r="C1366" t="s">
        <v>35</v>
      </c>
      <c r="D1366">
        <v>0.22222222222222221</v>
      </c>
      <c r="E1366">
        <v>0.77777777777777779</v>
      </c>
      <c r="F1366">
        <v>338.15</v>
      </c>
      <c r="G1366">
        <v>341.8</v>
      </c>
      <c r="H1366">
        <f t="shared" si="84"/>
        <v>-5.19</v>
      </c>
      <c r="I1366">
        <v>5.5720068149199926E-3</v>
      </c>
      <c r="J1366" t="str">
        <f t="shared" si="85"/>
        <v>C[N+](C)(C)CC(=O)[O-]CC(CO)O</v>
      </c>
      <c r="K1366">
        <v>72</v>
      </c>
      <c r="M1366">
        <f t="shared" si="86"/>
        <v>2.0133296633035633</v>
      </c>
      <c r="N1366">
        <f t="shared" si="87"/>
        <v>-0.43019512888899586</v>
      </c>
    </row>
    <row r="1367" spans="1:14" x14ac:dyDescent="0.35">
      <c r="A1367">
        <v>1365</v>
      </c>
      <c r="B1367" t="s">
        <v>25</v>
      </c>
      <c r="C1367" t="s">
        <v>35</v>
      </c>
      <c r="D1367">
        <v>0.22222222222222221</v>
      </c>
      <c r="E1367">
        <v>0.77777777777777779</v>
      </c>
      <c r="F1367">
        <v>338.15</v>
      </c>
      <c r="G1367">
        <v>461.3</v>
      </c>
      <c r="H1367">
        <f t="shared" si="84"/>
        <v>-4.82</v>
      </c>
      <c r="I1367">
        <v>8.0667871390996144E-3</v>
      </c>
      <c r="J1367" t="str">
        <f t="shared" si="85"/>
        <v>C[N+](C)(C)CC(=O)[O-]CC(CO)O</v>
      </c>
      <c r="K1367">
        <v>72</v>
      </c>
      <c r="M1367">
        <f t="shared" si="86"/>
        <v>2.0133296633035633</v>
      </c>
      <c r="N1367">
        <f t="shared" si="87"/>
        <v>-0.36336051274903725</v>
      </c>
    </row>
    <row r="1368" spans="1:14" x14ac:dyDescent="0.35">
      <c r="A1368">
        <v>1366</v>
      </c>
      <c r="B1368" t="s">
        <v>25</v>
      </c>
      <c r="C1368" t="s">
        <v>35</v>
      </c>
      <c r="D1368">
        <v>0.22222222222222221</v>
      </c>
      <c r="E1368">
        <v>0.77777777777777779</v>
      </c>
      <c r="F1368">
        <v>338.15</v>
      </c>
      <c r="G1368">
        <v>576.29999999999995</v>
      </c>
      <c r="H1368">
        <f t="shared" si="84"/>
        <v>-4.5999999999999996</v>
      </c>
      <c r="I1368">
        <v>1.0051835744633586E-2</v>
      </c>
      <c r="J1368" t="str">
        <f t="shared" si="85"/>
        <v>C[N+](C)(C)CC(=O)[O-]CC(CO)O</v>
      </c>
      <c r="K1368">
        <v>72</v>
      </c>
      <c r="M1368">
        <f t="shared" si="86"/>
        <v>2.0133296633035633</v>
      </c>
      <c r="N1368">
        <f t="shared" si="87"/>
        <v>-0.29904268131727796</v>
      </c>
    </row>
    <row r="1369" spans="1:14" x14ac:dyDescent="0.35">
      <c r="A1369">
        <v>1367</v>
      </c>
      <c r="B1369" t="s">
        <v>25</v>
      </c>
      <c r="C1369" t="s">
        <v>35</v>
      </c>
      <c r="D1369">
        <v>0.22222222222222221</v>
      </c>
      <c r="E1369">
        <v>0.77777777777777779</v>
      </c>
      <c r="F1369">
        <v>338.15</v>
      </c>
      <c r="G1369">
        <v>691.8</v>
      </c>
      <c r="H1369">
        <f t="shared" si="84"/>
        <v>-4.38</v>
      </c>
      <c r="I1369">
        <v>1.2525358621074385E-2</v>
      </c>
      <c r="J1369" t="str">
        <f t="shared" si="85"/>
        <v>C[N+](C)(C)CC(=O)[O-]CC(CO)O</v>
      </c>
      <c r="K1369">
        <v>72</v>
      </c>
      <c r="M1369">
        <f t="shared" si="86"/>
        <v>2.0133296633035633</v>
      </c>
      <c r="N1369">
        <f t="shared" si="87"/>
        <v>-0.23444520714016318</v>
      </c>
    </row>
    <row r="1370" spans="1:14" x14ac:dyDescent="0.35">
      <c r="A1370">
        <v>1368</v>
      </c>
      <c r="B1370" t="s">
        <v>25</v>
      </c>
      <c r="C1370" t="s">
        <v>35</v>
      </c>
      <c r="D1370">
        <v>0.22222222222222221</v>
      </c>
      <c r="E1370">
        <v>0.77777777777777779</v>
      </c>
      <c r="F1370">
        <v>348.15</v>
      </c>
      <c r="G1370">
        <v>222.3</v>
      </c>
      <c r="H1370">
        <f t="shared" si="84"/>
        <v>-5.81</v>
      </c>
      <c r="I1370">
        <v>2.9974300723258312E-3</v>
      </c>
      <c r="J1370" t="str">
        <f t="shared" si="85"/>
        <v>C[N+](C)(C)CC(=O)[O-]CC(CO)O</v>
      </c>
      <c r="K1370">
        <v>72</v>
      </c>
      <c r="M1370">
        <f t="shared" si="86"/>
        <v>2.7970463398510086</v>
      </c>
      <c r="N1370">
        <f t="shared" si="87"/>
        <v>-0.49702974502895442</v>
      </c>
    </row>
    <row r="1371" spans="1:14" x14ac:dyDescent="0.35">
      <c r="A1371">
        <v>1369</v>
      </c>
      <c r="B1371" t="s">
        <v>25</v>
      </c>
      <c r="C1371" t="s">
        <v>35</v>
      </c>
      <c r="D1371">
        <v>0.22222222222222221</v>
      </c>
      <c r="E1371">
        <v>0.77777777777777779</v>
      </c>
      <c r="F1371">
        <v>348.15</v>
      </c>
      <c r="G1371">
        <v>355.5</v>
      </c>
      <c r="H1371">
        <f t="shared" si="84"/>
        <v>-5.26</v>
      </c>
      <c r="I1371">
        <v>5.1953047187052312E-3</v>
      </c>
      <c r="J1371" t="str">
        <f t="shared" si="85"/>
        <v>C[N+](C)(C)CC(=O)[O-]CC(CO)O</v>
      </c>
      <c r="K1371">
        <v>72</v>
      </c>
      <c r="M1371">
        <f t="shared" si="86"/>
        <v>2.7970463398510086</v>
      </c>
      <c r="N1371">
        <f t="shared" si="87"/>
        <v>-0.42253291766625578</v>
      </c>
    </row>
    <row r="1372" spans="1:14" x14ac:dyDescent="0.35">
      <c r="A1372">
        <v>1370</v>
      </c>
      <c r="B1372" t="s">
        <v>25</v>
      </c>
      <c r="C1372" t="s">
        <v>35</v>
      </c>
      <c r="D1372">
        <v>0.22222222222222221</v>
      </c>
      <c r="E1372">
        <v>0.77777777777777779</v>
      </c>
      <c r="F1372">
        <v>348.15</v>
      </c>
      <c r="G1372">
        <v>480</v>
      </c>
      <c r="H1372">
        <f t="shared" si="84"/>
        <v>-4.88</v>
      </c>
      <c r="I1372">
        <v>7.597014027577567E-3</v>
      </c>
      <c r="J1372" t="str">
        <f t="shared" si="85"/>
        <v>C[N+](C)(C)CC(=O)[O-]CC(CO)O</v>
      </c>
      <c r="K1372">
        <v>72</v>
      </c>
      <c r="M1372">
        <f t="shared" si="86"/>
        <v>2.7970463398510086</v>
      </c>
      <c r="N1372">
        <f t="shared" si="87"/>
        <v>-0.35290187407274248</v>
      </c>
    </row>
    <row r="1373" spans="1:14" x14ac:dyDescent="0.35">
      <c r="A1373">
        <v>1371</v>
      </c>
      <c r="B1373" t="s">
        <v>25</v>
      </c>
      <c r="C1373" t="s">
        <v>35</v>
      </c>
      <c r="D1373">
        <v>0.22222222222222221</v>
      </c>
      <c r="E1373">
        <v>0.77777777777777779</v>
      </c>
      <c r="F1373">
        <v>348.15</v>
      </c>
      <c r="G1373">
        <v>599.5</v>
      </c>
      <c r="H1373">
        <f t="shared" si="84"/>
        <v>-4.66</v>
      </c>
      <c r="I1373">
        <v>9.4664624017103231E-3</v>
      </c>
      <c r="J1373" t="str">
        <f t="shared" si="85"/>
        <v>C[N+](C)(C)CC(=O)[O-]CC(CO)O</v>
      </c>
      <c r="K1373">
        <v>72</v>
      </c>
      <c r="M1373">
        <f t="shared" si="86"/>
        <v>2.7970463398510086</v>
      </c>
      <c r="N1373">
        <f t="shared" si="87"/>
        <v>-0.28606725793278387</v>
      </c>
    </row>
    <row r="1374" spans="1:14" x14ac:dyDescent="0.35">
      <c r="A1374">
        <v>1372</v>
      </c>
      <c r="B1374" t="s">
        <v>25</v>
      </c>
      <c r="C1374" t="s">
        <v>35</v>
      </c>
      <c r="D1374">
        <v>0.22222222222222221</v>
      </c>
      <c r="E1374">
        <v>0.77777777777777779</v>
      </c>
      <c r="F1374">
        <v>348.15</v>
      </c>
      <c r="G1374">
        <v>719.8</v>
      </c>
      <c r="H1374">
        <f t="shared" si="84"/>
        <v>-4.45</v>
      </c>
      <c r="I1374">
        <v>1.1678566970395442E-2</v>
      </c>
      <c r="J1374" t="str">
        <f t="shared" si="85"/>
        <v>C[N+](C)(C)CC(=O)[O-]CC(CO)O</v>
      </c>
      <c r="K1374">
        <v>72</v>
      </c>
      <c r="M1374">
        <f t="shared" si="86"/>
        <v>2.7970463398510086</v>
      </c>
      <c r="N1374">
        <f t="shared" si="87"/>
        <v>-0.21878521340025656</v>
      </c>
    </row>
    <row r="1375" spans="1:14" x14ac:dyDescent="0.35">
      <c r="A1375">
        <v>1373</v>
      </c>
      <c r="B1375" t="s">
        <v>25</v>
      </c>
      <c r="C1375" t="s">
        <v>35</v>
      </c>
      <c r="D1375">
        <v>0.2</v>
      </c>
      <c r="E1375">
        <v>0.8</v>
      </c>
      <c r="F1375">
        <v>308.14999999999998</v>
      </c>
      <c r="G1375">
        <v>193.8</v>
      </c>
      <c r="H1375">
        <f t="shared" si="84"/>
        <v>-5.36</v>
      </c>
      <c r="I1375">
        <v>4.700906107583276E-3</v>
      </c>
      <c r="J1375" t="str">
        <f t="shared" si="85"/>
        <v>C[N+](C)(C)CC(=O)[O-]CC(CO)O</v>
      </c>
      <c r="K1375">
        <v>72</v>
      </c>
      <c r="M1375">
        <f t="shared" si="86"/>
        <v>-0.33782036633877249</v>
      </c>
      <c r="N1375">
        <f t="shared" si="87"/>
        <v>-0.51296938151421656</v>
      </c>
    </row>
    <row r="1376" spans="1:14" x14ac:dyDescent="0.35">
      <c r="A1376">
        <v>1374</v>
      </c>
      <c r="B1376" t="s">
        <v>25</v>
      </c>
      <c r="C1376" t="s">
        <v>35</v>
      </c>
      <c r="D1376">
        <v>0.2</v>
      </c>
      <c r="E1376">
        <v>0.8</v>
      </c>
      <c r="F1376">
        <v>308.14999999999998</v>
      </c>
      <c r="G1376">
        <v>303.3</v>
      </c>
      <c r="H1376">
        <f t="shared" si="84"/>
        <v>-4.8499999999999996</v>
      </c>
      <c r="I1376">
        <v>7.8283775492257734E-3</v>
      </c>
      <c r="J1376" t="str">
        <f t="shared" si="85"/>
        <v>C[N+](C)(C)CC(=O)[O-]CC(CO)O</v>
      </c>
      <c r="K1376">
        <v>72</v>
      </c>
      <c r="M1376">
        <f t="shared" si="86"/>
        <v>-0.33782036633877249</v>
      </c>
      <c r="N1376">
        <f t="shared" si="87"/>
        <v>-0.45172762028136743</v>
      </c>
    </row>
    <row r="1377" spans="1:14" x14ac:dyDescent="0.35">
      <c r="A1377">
        <v>1375</v>
      </c>
      <c r="B1377" t="s">
        <v>25</v>
      </c>
      <c r="C1377" t="s">
        <v>35</v>
      </c>
      <c r="D1377">
        <v>0.2</v>
      </c>
      <c r="E1377">
        <v>0.8</v>
      </c>
      <c r="F1377">
        <v>308.14999999999998</v>
      </c>
      <c r="G1377">
        <v>405.3</v>
      </c>
      <c r="H1377">
        <f t="shared" si="84"/>
        <v>-4.5199999999999996</v>
      </c>
      <c r="I1377">
        <v>1.0889023668554451E-2</v>
      </c>
      <c r="J1377" t="str">
        <f t="shared" si="85"/>
        <v>C[N+](C)(C)CC(=O)[O-]CC(CO)O</v>
      </c>
      <c r="K1377">
        <v>72</v>
      </c>
      <c r="M1377">
        <f t="shared" si="86"/>
        <v>-0.33782036633877249</v>
      </c>
      <c r="N1377">
        <f t="shared" si="87"/>
        <v>-0.39468050022885048</v>
      </c>
    </row>
    <row r="1378" spans="1:14" x14ac:dyDescent="0.35">
      <c r="A1378">
        <v>1376</v>
      </c>
      <c r="B1378" t="s">
        <v>25</v>
      </c>
      <c r="C1378" t="s">
        <v>35</v>
      </c>
      <c r="D1378">
        <v>0.2</v>
      </c>
      <c r="E1378">
        <v>0.8</v>
      </c>
      <c r="F1378">
        <v>308.14999999999998</v>
      </c>
      <c r="G1378">
        <v>504.5</v>
      </c>
      <c r="H1378">
        <f t="shared" si="84"/>
        <v>-4.33</v>
      </c>
      <c r="I1378">
        <v>1.3167547490079751E-2</v>
      </c>
      <c r="J1378" t="str">
        <f t="shared" si="85"/>
        <v>C[N+](C)(C)CC(=O)[O-]CC(CO)O</v>
      </c>
      <c r="K1378">
        <v>72</v>
      </c>
      <c r="M1378">
        <f t="shared" si="86"/>
        <v>-0.33782036633877249</v>
      </c>
      <c r="N1378">
        <f t="shared" si="87"/>
        <v>-0.3391993795503242</v>
      </c>
    </row>
    <row r="1379" spans="1:14" x14ac:dyDescent="0.35">
      <c r="A1379">
        <v>1377</v>
      </c>
      <c r="B1379" t="s">
        <v>25</v>
      </c>
      <c r="C1379" t="s">
        <v>35</v>
      </c>
      <c r="D1379">
        <v>0.2</v>
      </c>
      <c r="E1379">
        <v>0.8</v>
      </c>
      <c r="F1379">
        <v>308.14999999999998</v>
      </c>
      <c r="G1379">
        <v>605</v>
      </c>
      <c r="H1379">
        <f t="shared" si="84"/>
        <v>-4.12</v>
      </c>
      <c r="I1379">
        <v>1.6244514441949871E-2</v>
      </c>
      <c r="J1379" t="str">
        <f t="shared" si="85"/>
        <v>C[N+](C)(C)CC(=O)[O-]CC(CO)O</v>
      </c>
      <c r="K1379">
        <v>72</v>
      </c>
      <c r="M1379">
        <f t="shared" si="86"/>
        <v>-0.33782036633877249</v>
      </c>
      <c r="N1379">
        <f t="shared" si="87"/>
        <v>-0.28299118773387366</v>
      </c>
    </row>
    <row r="1380" spans="1:14" x14ac:dyDescent="0.35">
      <c r="A1380">
        <v>1378</v>
      </c>
      <c r="B1380" t="s">
        <v>25</v>
      </c>
      <c r="C1380" t="s">
        <v>35</v>
      </c>
      <c r="D1380">
        <v>0.2</v>
      </c>
      <c r="E1380">
        <v>0.8</v>
      </c>
      <c r="F1380">
        <v>318.14999999999998</v>
      </c>
      <c r="G1380">
        <v>202.8</v>
      </c>
      <c r="H1380">
        <f t="shared" si="84"/>
        <v>-5.5</v>
      </c>
      <c r="I1380">
        <v>4.0867714384640666E-3</v>
      </c>
      <c r="J1380" t="str">
        <f t="shared" si="85"/>
        <v>C[N+](C)(C)CC(=O)[O-]CC(CO)O</v>
      </c>
      <c r="K1380">
        <v>72</v>
      </c>
      <c r="M1380">
        <f t="shared" si="86"/>
        <v>0.44589631020867276</v>
      </c>
      <c r="N1380">
        <f t="shared" si="87"/>
        <v>-0.50793581209781802</v>
      </c>
    </row>
    <row r="1381" spans="1:14" x14ac:dyDescent="0.35">
      <c r="A1381">
        <v>1379</v>
      </c>
      <c r="B1381" t="s">
        <v>25</v>
      </c>
      <c r="C1381" t="s">
        <v>35</v>
      </c>
      <c r="D1381">
        <v>0.2</v>
      </c>
      <c r="E1381">
        <v>0.8</v>
      </c>
      <c r="F1381">
        <v>318.14999999999998</v>
      </c>
      <c r="G1381">
        <v>317.8</v>
      </c>
      <c r="H1381">
        <f t="shared" si="84"/>
        <v>-4.96</v>
      </c>
      <c r="I1381">
        <v>7.0129278325854246E-3</v>
      </c>
      <c r="J1381" t="str">
        <f t="shared" si="85"/>
        <v>C[N+](C)(C)CC(=O)[O-]CC(CO)O</v>
      </c>
      <c r="K1381">
        <v>72</v>
      </c>
      <c r="M1381">
        <f t="shared" si="86"/>
        <v>0.44589631020867276</v>
      </c>
      <c r="N1381">
        <f t="shared" si="87"/>
        <v>-0.44361798066605868</v>
      </c>
    </row>
    <row r="1382" spans="1:14" x14ac:dyDescent="0.35">
      <c r="A1382">
        <v>1380</v>
      </c>
      <c r="B1382" t="s">
        <v>25</v>
      </c>
      <c r="C1382" t="s">
        <v>35</v>
      </c>
      <c r="D1382">
        <v>0.2</v>
      </c>
      <c r="E1382">
        <v>0.8</v>
      </c>
      <c r="F1382">
        <v>318.14999999999998</v>
      </c>
      <c r="G1382">
        <v>420</v>
      </c>
      <c r="H1382">
        <f t="shared" si="84"/>
        <v>-4.66</v>
      </c>
      <c r="I1382">
        <v>9.4664624017103231E-3</v>
      </c>
      <c r="J1382" t="str">
        <f t="shared" si="85"/>
        <v>C[N+](C)(C)CC(=O)[O-]CC(CO)O</v>
      </c>
      <c r="K1382">
        <v>72</v>
      </c>
      <c r="M1382">
        <f t="shared" si="86"/>
        <v>0.44589631020867276</v>
      </c>
      <c r="N1382">
        <f t="shared" si="87"/>
        <v>-0.38645900351539947</v>
      </c>
    </row>
    <row r="1383" spans="1:14" x14ac:dyDescent="0.35">
      <c r="A1383">
        <v>1381</v>
      </c>
      <c r="B1383" t="s">
        <v>25</v>
      </c>
      <c r="C1383" t="s">
        <v>35</v>
      </c>
      <c r="D1383">
        <v>0.2</v>
      </c>
      <c r="E1383">
        <v>0.8</v>
      </c>
      <c r="F1383">
        <v>318.14999999999998</v>
      </c>
      <c r="G1383">
        <v>528.5</v>
      </c>
      <c r="H1383">
        <f t="shared" si="84"/>
        <v>-4.42</v>
      </c>
      <c r="I1383">
        <v>1.2034232284723775E-2</v>
      </c>
      <c r="J1383" t="str">
        <f t="shared" si="85"/>
        <v>C[N+](C)(C)CC(=O)[O-]CC(CO)O</v>
      </c>
      <c r="K1383">
        <v>72</v>
      </c>
      <c r="M1383">
        <f t="shared" si="86"/>
        <v>0.44589631020867276</v>
      </c>
      <c r="N1383">
        <f t="shared" si="87"/>
        <v>-0.32577652777326138</v>
      </c>
    </row>
    <row r="1384" spans="1:14" x14ac:dyDescent="0.35">
      <c r="A1384">
        <v>1382</v>
      </c>
      <c r="B1384" t="s">
        <v>25</v>
      </c>
      <c r="C1384" t="s">
        <v>35</v>
      </c>
      <c r="D1384">
        <v>0.2</v>
      </c>
      <c r="E1384">
        <v>0.8</v>
      </c>
      <c r="F1384">
        <v>318.14999999999998</v>
      </c>
      <c r="G1384">
        <v>634</v>
      </c>
      <c r="H1384">
        <f t="shared" si="84"/>
        <v>-4.21</v>
      </c>
      <c r="I1384">
        <v>1.4846368338086832E-2</v>
      </c>
      <c r="J1384" t="str">
        <f t="shared" si="85"/>
        <v>C[N+](C)(C)CC(=O)[O-]CC(CO)O</v>
      </c>
      <c r="K1384">
        <v>72</v>
      </c>
      <c r="M1384">
        <f t="shared" si="86"/>
        <v>0.44589631020867276</v>
      </c>
      <c r="N1384">
        <f t="shared" si="87"/>
        <v>-0.26677190850325611</v>
      </c>
    </row>
    <row r="1385" spans="1:14" x14ac:dyDescent="0.35">
      <c r="A1385">
        <v>1383</v>
      </c>
      <c r="B1385" t="s">
        <v>25</v>
      </c>
      <c r="C1385" t="s">
        <v>35</v>
      </c>
      <c r="D1385">
        <v>0.2</v>
      </c>
      <c r="E1385">
        <v>0.8</v>
      </c>
      <c r="F1385">
        <v>328.15</v>
      </c>
      <c r="G1385">
        <v>211</v>
      </c>
      <c r="H1385">
        <f t="shared" si="84"/>
        <v>-5.57</v>
      </c>
      <c r="I1385">
        <v>3.810480432592037E-3</v>
      </c>
      <c r="J1385" t="str">
        <f t="shared" si="85"/>
        <v>C[N+](C)(C)CC(=O)[O-]CC(CO)O</v>
      </c>
      <c r="K1385">
        <v>72</v>
      </c>
      <c r="M1385">
        <f t="shared" si="86"/>
        <v>1.2296129867561181</v>
      </c>
      <c r="N1385">
        <f t="shared" si="87"/>
        <v>-0.5033496710739882</v>
      </c>
    </row>
    <row r="1386" spans="1:14" x14ac:dyDescent="0.35">
      <c r="A1386">
        <v>1384</v>
      </c>
      <c r="B1386" t="s">
        <v>25</v>
      </c>
      <c r="C1386" t="s">
        <v>35</v>
      </c>
      <c r="D1386">
        <v>0.2</v>
      </c>
      <c r="E1386">
        <v>0.8</v>
      </c>
      <c r="F1386">
        <v>328.15</v>
      </c>
      <c r="G1386">
        <v>331.8</v>
      </c>
      <c r="H1386">
        <f t="shared" si="84"/>
        <v>-5.05</v>
      </c>
      <c r="I1386">
        <v>6.4093334462563831E-3</v>
      </c>
      <c r="J1386" t="str">
        <f t="shared" si="85"/>
        <v>C[N+](C)(C)CC(=O)[O-]CC(CO)O</v>
      </c>
      <c r="K1386">
        <v>72</v>
      </c>
      <c r="M1386">
        <f t="shared" si="86"/>
        <v>1.2296129867561181</v>
      </c>
      <c r="N1386">
        <f t="shared" si="87"/>
        <v>-0.43578798379610534</v>
      </c>
    </row>
    <row r="1387" spans="1:14" x14ac:dyDescent="0.35">
      <c r="A1387">
        <v>1385</v>
      </c>
      <c r="B1387" t="s">
        <v>25</v>
      </c>
      <c r="C1387" t="s">
        <v>35</v>
      </c>
      <c r="D1387">
        <v>0.2</v>
      </c>
      <c r="E1387">
        <v>0.8</v>
      </c>
      <c r="F1387">
        <v>328.15</v>
      </c>
      <c r="G1387">
        <v>438.5</v>
      </c>
      <c r="H1387">
        <f t="shared" si="84"/>
        <v>-4.74</v>
      </c>
      <c r="I1387">
        <v>8.7386461854732905E-3</v>
      </c>
      <c r="J1387" t="str">
        <f t="shared" si="85"/>
        <v>C[N+](C)(C)CC(=O)[O-]CC(CO)O</v>
      </c>
      <c r="K1387">
        <v>72</v>
      </c>
      <c r="M1387">
        <f t="shared" si="86"/>
        <v>1.2296129867561181</v>
      </c>
      <c r="N1387">
        <f t="shared" si="87"/>
        <v>-0.37611222193724692</v>
      </c>
    </row>
    <row r="1388" spans="1:14" x14ac:dyDescent="0.35">
      <c r="A1388">
        <v>1386</v>
      </c>
      <c r="B1388" t="s">
        <v>25</v>
      </c>
      <c r="C1388" t="s">
        <v>35</v>
      </c>
      <c r="D1388">
        <v>0.2</v>
      </c>
      <c r="E1388">
        <v>0.8</v>
      </c>
      <c r="F1388">
        <v>328.15</v>
      </c>
      <c r="G1388">
        <v>552</v>
      </c>
      <c r="H1388">
        <f t="shared" si="84"/>
        <v>-4.51</v>
      </c>
      <c r="I1388">
        <v>1.0998460175806881E-2</v>
      </c>
      <c r="J1388" t="str">
        <f t="shared" si="85"/>
        <v>C[N+](C)(C)CC(=O)[O-]CC(CO)O</v>
      </c>
      <c r="K1388">
        <v>72</v>
      </c>
      <c r="M1388">
        <f t="shared" si="86"/>
        <v>1.2296129867561181</v>
      </c>
      <c r="N1388">
        <f t="shared" si="87"/>
        <v>-0.31263331874155403</v>
      </c>
    </row>
    <row r="1389" spans="1:14" x14ac:dyDescent="0.35">
      <c r="A1389">
        <v>1387</v>
      </c>
      <c r="B1389" t="s">
        <v>25</v>
      </c>
      <c r="C1389" t="s">
        <v>35</v>
      </c>
      <c r="D1389">
        <v>0.2</v>
      </c>
      <c r="E1389">
        <v>0.8</v>
      </c>
      <c r="F1389">
        <v>328.15</v>
      </c>
      <c r="G1389">
        <v>662.5</v>
      </c>
      <c r="H1389">
        <f t="shared" si="84"/>
        <v>-4.3</v>
      </c>
      <c r="I1389">
        <v>1.3568559012200934E-2</v>
      </c>
      <c r="J1389" t="str">
        <f t="shared" si="85"/>
        <v>C[N+](C)(C)CC(=O)[O-]CC(CO)O</v>
      </c>
      <c r="K1389">
        <v>72</v>
      </c>
      <c r="M1389">
        <f t="shared" si="86"/>
        <v>1.2296129867561181</v>
      </c>
      <c r="N1389">
        <f t="shared" si="87"/>
        <v>-0.25083227201799402</v>
      </c>
    </row>
    <row r="1390" spans="1:14" x14ac:dyDescent="0.35">
      <c r="A1390">
        <v>1388</v>
      </c>
      <c r="B1390" t="s">
        <v>25</v>
      </c>
      <c r="C1390" t="s">
        <v>35</v>
      </c>
      <c r="D1390">
        <v>0.2</v>
      </c>
      <c r="E1390">
        <v>0.8</v>
      </c>
      <c r="F1390">
        <v>338.15</v>
      </c>
      <c r="G1390">
        <v>220</v>
      </c>
      <c r="H1390">
        <f t="shared" si="84"/>
        <v>-5.68</v>
      </c>
      <c r="I1390">
        <v>3.4135584433954303E-3</v>
      </c>
      <c r="J1390" t="str">
        <f t="shared" si="85"/>
        <v>C[N+](C)(C)CC(=O)[O-]CC(CO)O</v>
      </c>
      <c r="K1390">
        <v>72</v>
      </c>
      <c r="M1390">
        <f t="shared" si="86"/>
        <v>2.0133296633035633</v>
      </c>
      <c r="N1390">
        <f t="shared" si="87"/>
        <v>-0.49831610165758961</v>
      </c>
    </row>
    <row r="1391" spans="1:14" x14ac:dyDescent="0.35">
      <c r="A1391">
        <v>1389</v>
      </c>
      <c r="B1391" t="s">
        <v>25</v>
      </c>
      <c r="C1391" t="s">
        <v>35</v>
      </c>
      <c r="D1391">
        <v>0.2</v>
      </c>
      <c r="E1391">
        <v>0.8</v>
      </c>
      <c r="F1391">
        <v>338.15</v>
      </c>
      <c r="G1391">
        <v>345.5</v>
      </c>
      <c r="H1391">
        <f t="shared" si="84"/>
        <v>-5.13</v>
      </c>
      <c r="I1391">
        <v>5.9165604736818572E-3</v>
      </c>
      <c r="J1391" t="str">
        <f t="shared" si="85"/>
        <v>C[N+](C)(C)CC(=O)[O-]CC(CO)O</v>
      </c>
      <c r="K1391">
        <v>72</v>
      </c>
      <c r="M1391">
        <f t="shared" si="86"/>
        <v>2.0133296633035633</v>
      </c>
      <c r="N1391">
        <f t="shared" si="87"/>
        <v>-0.42812577257336532</v>
      </c>
    </row>
    <row r="1392" spans="1:14" x14ac:dyDescent="0.35">
      <c r="A1392">
        <v>1390</v>
      </c>
      <c r="B1392" t="s">
        <v>25</v>
      </c>
      <c r="C1392" t="s">
        <v>35</v>
      </c>
      <c r="D1392">
        <v>0.2</v>
      </c>
      <c r="E1392">
        <v>0.8</v>
      </c>
      <c r="F1392">
        <v>338.15</v>
      </c>
      <c r="G1392">
        <v>456.8</v>
      </c>
      <c r="H1392">
        <f t="shared" si="84"/>
        <v>-4.83</v>
      </c>
      <c r="I1392">
        <v>7.9865212659555023E-3</v>
      </c>
      <c r="J1392" t="str">
        <f t="shared" si="85"/>
        <v>C[N+](C)(C)CC(=O)[O-]CC(CO)O</v>
      </c>
      <c r="K1392">
        <v>72</v>
      </c>
      <c r="M1392">
        <f t="shared" si="86"/>
        <v>2.0133296633035633</v>
      </c>
      <c r="N1392">
        <f t="shared" si="87"/>
        <v>-0.36587729745723652</v>
      </c>
    </row>
    <row r="1393" spans="1:14" x14ac:dyDescent="0.35">
      <c r="A1393">
        <v>1391</v>
      </c>
      <c r="B1393" t="s">
        <v>25</v>
      </c>
      <c r="C1393" t="s">
        <v>35</v>
      </c>
      <c r="D1393">
        <v>0.2</v>
      </c>
      <c r="E1393">
        <v>0.8</v>
      </c>
      <c r="F1393">
        <v>338.15</v>
      </c>
      <c r="G1393">
        <v>574.5</v>
      </c>
      <c r="H1393">
        <f t="shared" si="84"/>
        <v>-4.58</v>
      </c>
      <c r="I1393">
        <v>1.0254896296404022E-2</v>
      </c>
      <c r="J1393" t="str">
        <f t="shared" si="85"/>
        <v>C[N+](C)(C)CC(=O)[O-]CC(CO)O</v>
      </c>
      <c r="K1393">
        <v>72</v>
      </c>
      <c r="M1393">
        <f t="shared" si="86"/>
        <v>2.0133296633035633</v>
      </c>
      <c r="N1393">
        <f t="shared" si="87"/>
        <v>-0.30004939520055762</v>
      </c>
    </row>
    <row r="1394" spans="1:14" x14ac:dyDescent="0.35">
      <c r="A1394">
        <v>1392</v>
      </c>
      <c r="B1394" t="s">
        <v>25</v>
      </c>
      <c r="C1394" t="s">
        <v>35</v>
      </c>
      <c r="D1394">
        <v>0.2</v>
      </c>
      <c r="E1394">
        <v>0.8</v>
      </c>
      <c r="F1394">
        <v>338.15</v>
      </c>
      <c r="G1394">
        <v>689.8</v>
      </c>
      <c r="H1394">
        <f t="shared" si="84"/>
        <v>-4.37</v>
      </c>
      <c r="I1394">
        <v>1.2651240568005305E-2</v>
      </c>
      <c r="J1394" t="str">
        <f t="shared" si="85"/>
        <v>C[N+](C)(C)CC(=O)[O-]CC(CO)O</v>
      </c>
      <c r="K1394">
        <v>72</v>
      </c>
      <c r="M1394">
        <f t="shared" si="86"/>
        <v>2.0133296633035633</v>
      </c>
      <c r="N1394">
        <f t="shared" si="87"/>
        <v>-0.23556377812158508</v>
      </c>
    </row>
    <row r="1395" spans="1:14" x14ac:dyDescent="0.35">
      <c r="A1395">
        <v>1393</v>
      </c>
      <c r="B1395" t="s">
        <v>25</v>
      </c>
      <c r="C1395" t="s">
        <v>35</v>
      </c>
      <c r="D1395">
        <v>0.2</v>
      </c>
      <c r="E1395">
        <v>0.8</v>
      </c>
      <c r="F1395">
        <v>348.15</v>
      </c>
      <c r="G1395">
        <v>225.8</v>
      </c>
      <c r="H1395">
        <f t="shared" si="84"/>
        <v>-5.78</v>
      </c>
      <c r="I1395">
        <v>3.0887154082367687E-3</v>
      </c>
      <c r="J1395" t="str">
        <f t="shared" si="85"/>
        <v>C[N+](C)(C)CC(=O)[O-]CC(CO)O</v>
      </c>
      <c r="K1395">
        <v>72</v>
      </c>
      <c r="M1395">
        <f t="shared" si="86"/>
        <v>2.7970463398510086</v>
      </c>
      <c r="N1395">
        <f t="shared" si="87"/>
        <v>-0.49507224581146614</v>
      </c>
    </row>
    <row r="1396" spans="1:14" x14ac:dyDescent="0.35">
      <c r="A1396">
        <v>1394</v>
      </c>
      <c r="B1396" t="s">
        <v>25</v>
      </c>
      <c r="C1396" t="s">
        <v>35</v>
      </c>
      <c r="D1396">
        <v>0.2</v>
      </c>
      <c r="E1396">
        <v>0.8</v>
      </c>
      <c r="F1396">
        <v>348.15</v>
      </c>
      <c r="G1396">
        <v>359</v>
      </c>
      <c r="H1396">
        <f t="shared" si="84"/>
        <v>-5.22</v>
      </c>
      <c r="I1396">
        <v>5.4073291264409599E-3</v>
      </c>
      <c r="J1396" t="str">
        <f t="shared" si="85"/>
        <v>C[N+](C)(C)CC(=O)[O-]CC(CO)O</v>
      </c>
      <c r="K1396">
        <v>72</v>
      </c>
      <c r="M1396">
        <f t="shared" si="86"/>
        <v>2.7970463398510086</v>
      </c>
      <c r="N1396">
        <f t="shared" si="87"/>
        <v>-0.4205754184487675</v>
      </c>
    </row>
    <row r="1397" spans="1:14" x14ac:dyDescent="0.35">
      <c r="A1397">
        <v>1395</v>
      </c>
      <c r="B1397" t="s">
        <v>25</v>
      </c>
      <c r="C1397" t="s">
        <v>35</v>
      </c>
      <c r="D1397">
        <v>0.2</v>
      </c>
      <c r="E1397">
        <v>0.8</v>
      </c>
      <c r="F1397">
        <v>348.15</v>
      </c>
      <c r="G1397">
        <v>474.3</v>
      </c>
      <c r="H1397">
        <f t="shared" si="84"/>
        <v>-4.8899999999999997</v>
      </c>
      <c r="I1397">
        <v>7.5214224749932702E-3</v>
      </c>
      <c r="J1397" t="str">
        <f t="shared" si="85"/>
        <v>C[N+](C)(C)CC(=O)[O-]CC(CO)O</v>
      </c>
      <c r="K1397">
        <v>72</v>
      </c>
      <c r="M1397">
        <f t="shared" si="86"/>
        <v>2.7970463398510086</v>
      </c>
      <c r="N1397">
        <f t="shared" si="87"/>
        <v>-0.3560898013697949</v>
      </c>
    </row>
    <row r="1398" spans="1:14" x14ac:dyDescent="0.35">
      <c r="A1398">
        <v>1396</v>
      </c>
      <c r="B1398" t="s">
        <v>25</v>
      </c>
      <c r="C1398" t="s">
        <v>35</v>
      </c>
      <c r="D1398">
        <v>0.2</v>
      </c>
      <c r="E1398">
        <v>0.8</v>
      </c>
      <c r="F1398">
        <v>348.15</v>
      </c>
      <c r="G1398">
        <v>596.79999999999995</v>
      </c>
      <c r="H1398">
        <f t="shared" si="84"/>
        <v>-4.6500000000000004</v>
      </c>
      <c r="I1398">
        <v>9.5616019305435045E-3</v>
      </c>
      <c r="J1398" t="str">
        <f t="shared" si="85"/>
        <v>C[N+](C)(C)CC(=O)[O-]CC(CO)O</v>
      </c>
      <c r="K1398">
        <v>72</v>
      </c>
      <c r="M1398">
        <f t="shared" si="86"/>
        <v>2.7970463398510086</v>
      </c>
      <c r="N1398">
        <f t="shared" si="87"/>
        <v>-0.28757732875770348</v>
      </c>
    </row>
    <row r="1399" spans="1:14" x14ac:dyDescent="0.35">
      <c r="A1399">
        <v>1397</v>
      </c>
      <c r="B1399" t="s">
        <v>25</v>
      </c>
      <c r="C1399" t="s">
        <v>35</v>
      </c>
      <c r="D1399">
        <v>0.2</v>
      </c>
      <c r="E1399">
        <v>0.8</v>
      </c>
      <c r="F1399">
        <v>348.15</v>
      </c>
      <c r="G1399">
        <v>716.8</v>
      </c>
      <c r="H1399">
        <f t="shared" si="84"/>
        <v>-4.43</v>
      </c>
      <c r="I1399">
        <v>1.1914489672789647E-2</v>
      </c>
      <c r="J1399" t="str">
        <f t="shared" si="85"/>
        <v>C[N+](C)(C)CC(=O)[O-]CC(CO)O</v>
      </c>
      <c r="K1399">
        <v>72</v>
      </c>
      <c r="M1399">
        <f t="shared" si="86"/>
        <v>2.7970463398510086</v>
      </c>
      <c r="N1399">
        <f t="shared" si="87"/>
        <v>-0.22046306987238939</v>
      </c>
    </row>
    <row r="1400" spans="1:14" x14ac:dyDescent="0.35">
      <c r="A1400">
        <v>1398</v>
      </c>
      <c r="B1400" t="s">
        <v>7</v>
      </c>
      <c r="C1400" t="s">
        <v>45</v>
      </c>
      <c r="D1400">
        <v>0.2</v>
      </c>
      <c r="E1400">
        <v>0.8</v>
      </c>
      <c r="F1400">
        <v>293.14999999999998</v>
      </c>
      <c r="G1400">
        <v>110.4</v>
      </c>
      <c r="H1400">
        <f t="shared" si="84"/>
        <v>-5.55</v>
      </c>
      <c r="I1400">
        <v>3.8874572434761303E-3</v>
      </c>
      <c r="J1400" t="str">
        <f t="shared" si="85"/>
        <v>C[N+](C)(C)CCO.[Cl-]C(COCCO)O</v>
      </c>
      <c r="K1400">
        <v>82</v>
      </c>
      <c r="M1400">
        <f t="shared" si="86"/>
        <v>-1.5133953811599403</v>
      </c>
      <c r="N1400">
        <f t="shared" si="87"/>
        <v>-0.55961379143950984</v>
      </c>
    </row>
    <row r="1401" spans="1:14" x14ac:dyDescent="0.35">
      <c r="A1401">
        <v>1399</v>
      </c>
      <c r="B1401" t="s">
        <v>7</v>
      </c>
      <c r="C1401" t="s">
        <v>45</v>
      </c>
      <c r="D1401">
        <v>0.2</v>
      </c>
      <c r="E1401">
        <v>0.8</v>
      </c>
      <c r="F1401">
        <v>293.14999999999998</v>
      </c>
      <c r="G1401">
        <v>210.5</v>
      </c>
      <c r="H1401">
        <f t="shared" si="84"/>
        <v>-4.84</v>
      </c>
      <c r="I1401">
        <v>7.9070540515934415E-3</v>
      </c>
      <c r="J1401" t="str">
        <f t="shared" si="85"/>
        <v>C[N+](C)(C)CCO.[Cl-]C(COCCO)O</v>
      </c>
      <c r="K1401">
        <v>82</v>
      </c>
      <c r="M1401">
        <f t="shared" si="86"/>
        <v>-1.5133953811599403</v>
      </c>
      <c r="N1401">
        <f t="shared" si="87"/>
        <v>-0.50362931381934362</v>
      </c>
    </row>
    <row r="1402" spans="1:14" x14ac:dyDescent="0.35">
      <c r="A1402">
        <v>1400</v>
      </c>
      <c r="B1402" t="s">
        <v>7</v>
      </c>
      <c r="C1402" t="s">
        <v>45</v>
      </c>
      <c r="D1402">
        <v>0.2</v>
      </c>
      <c r="E1402">
        <v>0.8</v>
      </c>
      <c r="F1402">
        <v>293.14999999999998</v>
      </c>
      <c r="G1402">
        <v>313.8</v>
      </c>
      <c r="H1402">
        <f t="shared" si="84"/>
        <v>-4.4000000000000004</v>
      </c>
      <c r="I1402">
        <v>1.2277339903068436E-2</v>
      </c>
      <c r="J1402" t="str">
        <f t="shared" si="85"/>
        <v>C[N+](C)(C)CCO.[Cl-]C(COCCO)O</v>
      </c>
      <c r="K1402">
        <v>82</v>
      </c>
      <c r="M1402">
        <f t="shared" si="86"/>
        <v>-1.5133953811599403</v>
      </c>
      <c r="N1402">
        <f t="shared" si="87"/>
        <v>-0.44585512262890248</v>
      </c>
    </row>
    <row r="1403" spans="1:14" x14ac:dyDescent="0.35">
      <c r="A1403">
        <v>1401</v>
      </c>
      <c r="B1403" t="s">
        <v>7</v>
      </c>
      <c r="C1403" t="s">
        <v>45</v>
      </c>
      <c r="D1403">
        <v>0.2</v>
      </c>
      <c r="E1403">
        <v>0.8</v>
      </c>
      <c r="F1403">
        <v>293.14999999999998</v>
      </c>
      <c r="G1403">
        <v>412.3</v>
      </c>
      <c r="H1403">
        <f t="shared" si="84"/>
        <v>-4.1100000000000003</v>
      </c>
      <c r="I1403">
        <v>1.6407774526292645E-2</v>
      </c>
      <c r="J1403" t="str">
        <f t="shared" si="85"/>
        <v>C[N+](C)(C)CCO.[Cl-]C(COCCO)O</v>
      </c>
      <c r="K1403">
        <v>82</v>
      </c>
      <c r="M1403">
        <f t="shared" si="86"/>
        <v>-1.5133953811599403</v>
      </c>
      <c r="N1403">
        <f t="shared" si="87"/>
        <v>-0.39076550179387382</v>
      </c>
    </row>
    <row r="1404" spans="1:14" x14ac:dyDescent="0.35">
      <c r="A1404">
        <v>1402</v>
      </c>
      <c r="B1404" t="s">
        <v>7</v>
      </c>
      <c r="C1404" t="s">
        <v>45</v>
      </c>
      <c r="D1404">
        <v>0.2</v>
      </c>
      <c r="E1404">
        <v>0.8</v>
      </c>
      <c r="F1404">
        <v>293.14999999999998</v>
      </c>
      <c r="G1404">
        <v>508.8</v>
      </c>
      <c r="H1404">
        <f t="shared" si="84"/>
        <v>-3.8873303928377747</v>
      </c>
      <c r="I1404">
        <v>2.0500000000000001E-2</v>
      </c>
      <c r="J1404" t="str">
        <f t="shared" si="85"/>
        <v>C[N+](C)(C)CCO.[Cl-]C(COCCO)O</v>
      </c>
      <c r="K1404">
        <v>82</v>
      </c>
      <c r="M1404">
        <f t="shared" si="86"/>
        <v>-1.5133953811599403</v>
      </c>
      <c r="N1404">
        <f t="shared" si="87"/>
        <v>-0.33679445194026714</v>
      </c>
    </row>
    <row r="1405" spans="1:14" x14ac:dyDescent="0.35">
      <c r="A1405">
        <v>1403</v>
      </c>
      <c r="B1405" t="s">
        <v>7</v>
      </c>
      <c r="C1405" t="s">
        <v>45</v>
      </c>
      <c r="D1405">
        <v>0.2</v>
      </c>
      <c r="E1405">
        <v>0.8</v>
      </c>
      <c r="F1405">
        <v>303.14999999999998</v>
      </c>
      <c r="G1405">
        <v>115.8</v>
      </c>
      <c r="H1405">
        <f t="shared" si="84"/>
        <v>-5.68</v>
      </c>
      <c r="I1405">
        <v>3.4135584433954303E-3</v>
      </c>
      <c r="J1405" t="str">
        <f t="shared" si="85"/>
        <v>C[N+](C)(C)CCO.[Cl-]C(COCCO)O</v>
      </c>
      <c r="K1405">
        <v>82</v>
      </c>
      <c r="M1405">
        <f t="shared" si="86"/>
        <v>-0.72967870461249518</v>
      </c>
      <c r="N1405">
        <f t="shared" si="87"/>
        <v>-0.55659364978967063</v>
      </c>
    </row>
    <row r="1406" spans="1:14" x14ac:dyDescent="0.35">
      <c r="A1406">
        <v>1404</v>
      </c>
      <c r="B1406" t="s">
        <v>7</v>
      </c>
      <c r="C1406" t="s">
        <v>45</v>
      </c>
      <c r="D1406">
        <v>0.2</v>
      </c>
      <c r="E1406">
        <v>0.8</v>
      </c>
      <c r="F1406">
        <v>303.14999999999998</v>
      </c>
      <c r="G1406">
        <v>218.4</v>
      </c>
      <c r="H1406">
        <f t="shared" si="84"/>
        <v>-5.0199999999999996</v>
      </c>
      <c r="I1406">
        <v>6.6045267093148112E-3</v>
      </c>
      <c r="J1406" t="str">
        <f t="shared" si="85"/>
        <v>C[N+](C)(C)CCO.[Cl-]C(COCCO)O</v>
      </c>
      <c r="K1406">
        <v>82</v>
      </c>
      <c r="M1406">
        <f t="shared" si="86"/>
        <v>-0.72967870461249518</v>
      </c>
      <c r="N1406">
        <f t="shared" si="87"/>
        <v>-0.49921095844272712</v>
      </c>
    </row>
    <row r="1407" spans="1:14" x14ac:dyDescent="0.35">
      <c r="A1407">
        <v>1405</v>
      </c>
      <c r="B1407" t="s">
        <v>7</v>
      </c>
      <c r="C1407" t="s">
        <v>45</v>
      </c>
      <c r="D1407">
        <v>0.2</v>
      </c>
      <c r="E1407">
        <v>0.8</v>
      </c>
      <c r="F1407">
        <v>303.14999999999998</v>
      </c>
      <c r="G1407">
        <v>318.7</v>
      </c>
      <c r="H1407">
        <f t="shared" si="84"/>
        <v>-4.62</v>
      </c>
      <c r="I1407">
        <v>9.8527960611872571E-3</v>
      </c>
      <c r="J1407" t="str">
        <f t="shared" si="85"/>
        <v>C[N+](C)(C)CCO.[Cl-]C(COCCO)O</v>
      </c>
      <c r="K1407">
        <v>82</v>
      </c>
      <c r="M1407">
        <f t="shared" si="86"/>
        <v>-0.72967870461249518</v>
      </c>
      <c r="N1407">
        <f t="shared" si="87"/>
        <v>-0.44311462372441873</v>
      </c>
    </row>
    <row r="1408" spans="1:14" x14ac:dyDescent="0.35">
      <c r="A1408">
        <v>1406</v>
      </c>
      <c r="B1408" t="s">
        <v>7</v>
      </c>
      <c r="C1408" t="s">
        <v>45</v>
      </c>
      <c r="D1408">
        <v>0.2</v>
      </c>
      <c r="E1408">
        <v>0.8</v>
      </c>
      <c r="F1408">
        <v>303.14999999999998</v>
      </c>
      <c r="G1408">
        <v>417.2</v>
      </c>
      <c r="H1408">
        <f t="shared" si="84"/>
        <v>-4.32</v>
      </c>
      <c r="I1408">
        <v>1.3299883542443767E-2</v>
      </c>
      <c r="J1408" t="str">
        <f t="shared" si="85"/>
        <v>C[N+](C)(C)CCO.[Cl-]C(COCCO)O</v>
      </c>
      <c r="K1408">
        <v>82</v>
      </c>
      <c r="M1408">
        <f t="shared" si="86"/>
        <v>-0.72967870461249518</v>
      </c>
      <c r="N1408">
        <f t="shared" si="87"/>
        <v>-0.38802500288939012</v>
      </c>
    </row>
    <row r="1409" spans="1:14" x14ac:dyDescent="0.35">
      <c r="A1409">
        <v>1407</v>
      </c>
      <c r="B1409" t="s">
        <v>7</v>
      </c>
      <c r="C1409" t="s">
        <v>45</v>
      </c>
      <c r="D1409">
        <v>0.2</v>
      </c>
      <c r="E1409">
        <v>0.8</v>
      </c>
      <c r="F1409">
        <v>303.14999999999998</v>
      </c>
      <c r="G1409">
        <v>519</v>
      </c>
      <c r="H1409">
        <f t="shared" si="84"/>
        <v>-4.09</v>
      </c>
      <c r="I1409">
        <v>1.6739233558580632E-2</v>
      </c>
      <c r="J1409" t="str">
        <f t="shared" si="85"/>
        <v>C[N+](C)(C)CCO.[Cl-]C(COCCO)O</v>
      </c>
      <c r="K1409">
        <v>82</v>
      </c>
      <c r="M1409">
        <f t="shared" si="86"/>
        <v>-0.72967870461249518</v>
      </c>
      <c r="N1409">
        <f t="shared" si="87"/>
        <v>-0.33108973993501539</v>
      </c>
    </row>
    <row r="1410" spans="1:14" x14ac:dyDescent="0.35">
      <c r="A1410">
        <v>1408</v>
      </c>
      <c r="B1410" t="s">
        <v>7</v>
      </c>
      <c r="C1410" t="s">
        <v>45</v>
      </c>
      <c r="D1410">
        <v>0.2</v>
      </c>
      <c r="E1410">
        <v>0.8</v>
      </c>
      <c r="F1410">
        <v>313.14999999999998</v>
      </c>
      <c r="G1410">
        <v>116.5</v>
      </c>
      <c r="H1410">
        <f t="shared" si="84"/>
        <v>-5.81</v>
      </c>
      <c r="I1410">
        <v>2.9974300723258312E-3</v>
      </c>
      <c r="J1410" t="str">
        <f t="shared" si="85"/>
        <v>C[N+](C)(C)CCO.[Cl-]C(COCCO)O</v>
      </c>
      <c r="K1410">
        <v>82</v>
      </c>
      <c r="M1410">
        <f t="shared" si="86"/>
        <v>5.4037971934950142E-2</v>
      </c>
      <c r="N1410">
        <f t="shared" si="87"/>
        <v>-0.55620214994617301</v>
      </c>
    </row>
    <row r="1411" spans="1:14" x14ac:dyDescent="0.35">
      <c r="A1411">
        <v>1409</v>
      </c>
      <c r="B1411" t="s">
        <v>7</v>
      </c>
      <c r="C1411" t="s">
        <v>45</v>
      </c>
      <c r="D1411">
        <v>0.2</v>
      </c>
      <c r="E1411">
        <v>0.8</v>
      </c>
      <c r="F1411">
        <v>313.14999999999998</v>
      </c>
      <c r="G1411">
        <v>217.1</v>
      </c>
      <c r="H1411">
        <f t="shared" ref="H1411:H1474" si="88">LN(I1411)</f>
        <v>-5.13</v>
      </c>
      <c r="I1411">
        <v>5.9165604736818572E-3</v>
      </c>
      <c r="J1411" t="str">
        <f t="shared" ref="J1411:J1474" si="89">_xlfn.CONCAT(B1411,C1411)</f>
        <v>C[N+](C)(C)CCO.[Cl-]C(COCCO)O</v>
      </c>
      <c r="K1411">
        <v>82</v>
      </c>
      <c r="M1411">
        <f t="shared" ref="M1411:M1474" si="90">(F1411-$L$3)/$L$2</f>
        <v>5.4037971934950142E-2</v>
      </c>
      <c r="N1411">
        <f t="shared" ref="N1411:N1474" si="91">(G1411-$L$6)/$L$5</f>
        <v>-0.49993802958065137</v>
      </c>
    </row>
    <row r="1412" spans="1:14" x14ac:dyDescent="0.35">
      <c r="A1412">
        <v>1410</v>
      </c>
      <c r="B1412" t="s">
        <v>7</v>
      </c>
      <c r="C1412" t="s">
        <v>45</v>
      </c>
      <c r="D1412">
        <v>0.2</v>
      </c>
      <c r="E1412">
        <v>0.8</v>
      </c>
      <c r="F1412">
        <v>313.14999999999998</v>
      </c>
      <c r="G1412">
        <v>313.5</v>
      </c>
      <c r="H1412">
        <f t="shared" si="88"/>
        <v>-4.7300000000000004</v>
      </c>
      <c r="I1412">
        <v>8.8264710397267226E-3</v>
      </c>
      <c r="J1412" t="str">
        <f t="shared" si="89"/>
        <v>C[N+](C)(C)CCO.[Cl-]C(COCCO)O</v>
      </c>
      <c r="K1412">
        <v>82</v>
      </c>
      <c r="M1412">
        <f t="shared" si="90"/>
        <v>5.4037971934950142E-2</v>
      </c>
      <c r="N1412">
        <f t="shared" si="91"/>
        <v>-0.44602290827611574</v>
      </c>
    </row>
    <row r="1413" spans="1:14" x14ac:dyDescent="0.35">
      <c r="A1413">
        <v>1411</v>
      </c>
      <c r="B1413" t="s">
        <v>7</v>
      </c>
      <c r="C1413" t="s">
        <v>45</v>
      </c>
      <c r="D1413">
        <v>0.2</v>
      </c>
      <c r="E1413">
        <v>0.8</v>
      </c>
      <c r="F1413">
        <v>313.14999999999998</v>
      </c>
      <c r="G1413">
        <v>416</v>
      </c>
      <c r="H1413">
        <f t="shared" si="88"/>
        <v>-4.43</v>
      </c>
      <c r="I1413">
        <v>1.1914489672789647E-2</v>
      </c>
      <c r="J1413" t="str">
        <f t="shared" si="89"/>
        <v>C[N+](C)(C)CCO.[Cl-]C(COCCO)O</v>
      </c>
      <c r="K1413">
        <v>82</v>
      </c>
      <c r="M1413">
        <f t="shared" si="90"/>
        <v>5.4037971934950142E-2</v>
      </c>
      <c r="N1413">
        <f t="shared" si="91"/>
        <v>-0.38869614547824327</v>
      </c>
    </row>
    <row r="1414" spans="1:14" x14ac:dyDescent="0.35">
      <c r="A1414">
        <v>1412</v>
      </c>
      <c r="B1414" t="s">
        <v>7</v>
      </c>
      <c r="C1414" t="s">
        <v>45</v>
      </c>
      <c r="D1414">
        <v>0.2</v>
      </c>
      <c r="E1414">
        <v>0.8</v>
      </c>
      <c r="F1414">
        <v>313.14999999999998</v>
      </c>
      <c r="G1414">
        <v>518.20000000000005</v>
      </c>
      <c r="H1414">
        <f t="shared" si="88"/>
        <v>-4.22</v>
      </c>
      <c r="I1414">
        <v>1.4698644504901784E-2</v>
      </c>
      <c r="J1414" t="str">
        <f t="shared" si="89"/>
        <v>C[N+](C)(C)CCO.[Cl-]C(COCCO)O</v>
      </c>
      <c r="K1414">
        <v>82</v>
      </c>
      <c r="M1414">
        <f t="shared" si="90"/>
        <v>5.4037971934950142E-2</v>
      </c>
      <c r="N1414">
        <f t="shared" si="91"/>
        <v>-0.33153716832758412</v>
      </c>
    </row>
    <row r="1415" spans="1:14" x14ac:dyDescent="0.35">
      <c r="A1415">
        <v>1413</v>
      </c>
      <c r="B1415" t="s">
        <v>7</v>
      </c>
      <c r="C1415" t="s">
        <v>45</v>
      </c>
      <c r="D1415">
        <v>0.2</v>
      </c>
      <c r="E1415">
        <v>0.8</v>
      </c>
      <c r="F1415">
        <v>323.14999999999998</v>
      </c>
      <c r="G1415">
        <v>116.7</v>
      </c>
      <c r="H1415">
        <f t="shared" si="88"/>
        <v>-6.07</v>
      </c>
      <c r="I1415">
        <v>2.3111732106021292E-3</v>
      </c>
      <c r="J1415" t="str">
        <f t="shared" si="89"/>
        <v>C[N+](C)(C)CCO.[Cl-]C(COCCO)O</v>
      </c>
      <c r="K1415">
        <v>82</v>
      </c>
      <c r="M1415">
        <f t="shared" si="90"/>
        <v>0.83775464848239545</v>
      </c>
      <c r="N1415">
        <f t="shared" si="91"/>
        <v>-0.5560902928480308</v>
      </c>
    </row>
    <row r="1416" spans="1:14" x14ac:dyDescent="0.35">
      <c r="A1416">
        <v>1414</v>
      </c>
      <c r="B1416" t="s">
        <v>7</v>
      </c>
      <c r="C1416" t="s">
        <v>45</v>
      </c>
      <c r="D1416">
        <v>0.2</v>
      </c>
      <c r="E1416">
        <v>0.8</v>
      </c>
      <c r="F1416">
        <v>323.14999999999998</v>
      </c>
      <c r="G1416">
        <v>221.2</v>
      </c>
      <c r="H1416">
        <f t="shared" si="88"/>
        <v>-5.4</v>
      </c>
      <c r="I1416">
        <v>4.5165809426126659E-3</v>
      </c>
      <c r="J1416" t="str">
        <f t="shared" si="89"/>
        <v>C[N+](C)(C)CCO.[Cl-]C(COCCO)O</v>
      </c>
      <c r="K1416">
        <v>82</v>
      </c>
      <c r="M1416">
        <f t="shared" si="90"/>
        <v>0.83775464848239545</v>
      </c>
      <c r="N1416">
        <f t="shared" si="91"/>
        <v>-0.49764495906873646</v>
      </c>
    </row>
    <row r="1417" spans="1:14" x14ac:dyDescent="0.35">
      <c r="A1417">
        <v>1415</v>
      </c>
      <c r="B1417" t="s">
        <v>7</v>
      </c>
      <c r="C1417" t="s">
        <v>45</v>
      </c>
      <c r="D1417">
        <v>0.2</v>
      </c>
      <c r="E1417">
        <v>0.8</v>
      </c>
      <c r="F1417">
        <v>323.14999999999998</v>
      </c>
      <c r="G1417">
        <v>327.39999999999998</v>
      </c>
      <c r="H1417">
        <f t="shared" si="88"/>
        <v>-4.93</v>
      </c>
      <c r="I1417">
        <v>7.2265032813764625E-3</v>
      </c>
      <c r="J1417" t="str">
        <f t="shared" si="89"/>
        <v>C[N+](C)(C)CCO.[Cl-]C(COCCO)O</v>
      </c>
      <c r="K1417">
        <v>82</v>
      </c>
      <c r="M1417">
        <f t="shared" si="90"/>
        <v>0.83775464848239545</v>
      </c>
      <c r="N1417">
        <f t="shared" si="91"/>
        <v>-0.4382488399552335</v>
      </c>
    </row>
    <row r="1418" spans="1:14" x14ac:dyDescent="0.35">
      <c r="A1418">
        <v>1416</v>
      </c>
      <c r="B1418" t="s">
        <v>7</v>
      </c>
      <c r="C1418" t="s">
        <v>45</v>
      </c>
      <c r="D1418">
        <v>0.2</v>
      </c>
      <c r="E1418">
        <v>0.8</v>
      </c>
      <c r="F1418">
        <v>323.14999999999998</v>
      </c>
      <c r="G1418">
        <v>419.2</v>
      </c>
      <c r="H1418">
        <f t="shared" si="88"/>
        <v>-4.6500000000000004</v>
      </c>
      <c r="I1418">
        <v>9.5616019305435045E-3</v>
      </c>
      <c r="J1418" t="str">
        <f t="shared" si="89"/>
        <v>C[N+](C)(C)CCO.[Cl-]C(COCCO)O</v>
      </c>
      <c r="K1418">
        <v>82</v>
      </c>
      <c r="M1418">
        <f t="shared" si="90"/>
        <v>0.83775464848239545</v>
      </c>
      <c r="N1418">
        <f t="shared" si="91"/>
        <v>-0.38690643190796825</v>
      </c>
    </row>
    <row r="1419" spans="1:14" x14ac:dyDescent="0.35">
      <c r="A1419">
        <v>1417</v>
      </c>
      <c r="B1419" t="s">
        <v>7</v>
      </c>
      <c r="C1419" t="s">
        <v>45</v>
      </c>
      <c r="D1419">
        <v>0.2</v>
      </c>
      <c r="E1419">
        <v>0.8</v>
      </c>
      <c r="F1419">
        <v>323.14999999999998</v>
      </c>
      <c r="G1419">
        <v>526.9</v>
      </c>
      <c r="H1419">
        <f t="shared" si="88"/>
        <v>-4.4145498263794414</v>
      </c>
      <c r="I1419">
        <v>1.21E-2</v>
      </c>
      <c r="J1419" t="str">
        <f t="shared" si="89"/>
        <v>C[N+](C)(C)CCO.[Cl-]C(COCCO)O</v>
      </c>
      <c r="K1419">
        <v>82</v>
      </c>
      <c r="M1419">
        <f t="shared" si="90"/>
        <v>0.83775464848239545</v>
      </c>
      <c r="N1419">
        <f t="shared" si="91"/>
        <v>-0.32667138455839889</v>
      </c>
    </row>
    <row r="1420" spans="1:14" x14ac:dyDescent="0.35">
      <c r="A1420">
        <v>1418</v>
      </c>
      <c r="B1420" t="s">
        <v>7</v>
      </c>
      <c r="C1420" t="s">
        <v>49</v>
      </c>
      <c r="D1420">
        <v>0.2</v>
      </c>
      <c r="E1420">
        <v>0.8</v>
      </c>
      <c r="F1420">
        <v>303.14999999999998</v>
      </c>
      <c r="G1420">
        <v>82.5</v>
      </c>
      <c r="H1420">
        <f t="shared" si="88"/>
        <v>-5.74</v>
      </c>
      <c r="I1420">
        <v>3.21476827530687E-3</v>
      </c>
      <c r="J1420" t="str">
        <f t="shared" si="89"/>
        <v>C[N+](C)(C)CCO.[Cl-]C1=COC(=C1)CO</v>
      </c>
      <c r="K1420">
        <v>85</v>
      </c>
      <c r="M1420">
        <f t="shared" si="90"/>
        <v>-0.72967870461249518</v>
      </c>
      <c r="N1420">
        <f t="shared" si="91"/>
        <v>-0.5752178566303453</v>
      </c>
    </row>
    <row r="1421" spans="1:14" x14ac:dyDescent="0.35">
      <c r="A1421">
        <v>1419</v>
      </c>
      <c r="B1421" t="s">
        <v>7</v>
      </c>
      <c r="C1421" t="s">
        <v>49</v>
      </c>
      <c r="D1421">
        <v>0.2</v>
      </c>
      <c r="E1421">
        <v>0.8</v>
      </c>
      <c r="F1421">
        <v>303.14999999999998</v>
      </c>
      <c r="G1421">
        <v>212.1</v>
      </c>
      <c r="H1421">
        <f t="shared" si="88"/>
        <v>-4.8</v>
      </c>
      <c r="I1421">
        <v>8.2297470490200302E-3</v>
      </c>
      <c r="J1421" t="str">
        <f t="shared" si="89"/>
        <v>C[N+](C)(C)CCO.[Cl-]C1=COC(=C1)CO</v>
      </c>
      <c r="K1421">
        <v>85</v>
      </c>
      <c r="M1421">
        <f t="shared" si="90"/>
        <v>-0.72967870461249518</v>
      </c>
      <c r="N1421">
        <f t="shared" si="91"/>
        <v>-0.50273445703420605</v>
      </c>
    </row>
    <row r="1422" spans="1:14" x14ac:dyDescent="0.35">
      <c r="A1422">
        <v>1420</v>
      </c>
      <c r="B1422" t="s">
        <v>7</v>
      </c>
      <c r="C1422" t="s">
        <v>49</v>
      </c>
      <c r="D1422">
        <v>0.2</v>
      </c>
      <c r="E1422">
        <v>0.8</v>
      </c>
      <c r="F1422">
        <v>303.14999999999998</v>
      </c>
      <c r="G1422">
        <v>319.3</v>
      </c>
      <c r="H1422">
        <f t="shared" si="88"/>
        <v>-4.3740584650247047</v>
      </c>
      <c r="I1422">
        <v>1.26E-2</v>
      </c>
      <c r="J1422" t="str">
        <f t="shared" si="89"/>
        <v>C[N+](C)(C)CCO.[Cl-]C1=COC(=C1)CO</v>
      </c>
      <c r="K1422">
        <v>85</v>
      </c>
      <c r="M1422">
        <f t="shared" si="90"/>
        <v>-0.72967870461249518</v>
      </c>
      <c r="N1422">
        <f t="shared" si="91"/>
        <v>-0.44277905242999221</v>
      </c>
    </row>
    <row r="1423" spans="1:14" x14ac:dyDescent="0.35">
      <c r="A1423">
        <v>1421</v>
      </c>
      <c r="B1423" t="s">
        <v>7</v>
      </c>
      <c r="C1423" t="s">
        <v>49</v>
      </c>
      <c r="D1423">
        <v>0.2</v>
      </c>
      <c r="E1423">
        <v>0.8</v>
      </c>
      <c r="F1423">
        <v>303.14999999999998</v>
      </c>
      <c r="G1423">
        <v>412.5</v>
      </c>
      <c r="H1423">
        <f t="shared" si="88"/>
        <v>-4.0999999999999996</v>
      </c>
      <c r="I1423">
        <v>1.6572675401761255E-2</v>
      </c>
      <c r="J1423" t="str">
        <f t="shared" si="89"/>
        <v>C[N+](C)(C)CCO.[Cl-]C1=COC(=C1)CO</v>
      </c>
      <c r="K1423">
        <v>85</v>
      </c>
      <c r="M1423">
        <f t="shared" si="90"/>
        <v>-0.72967870461249518</v>
      </c>
      <c r="N1423">
        <f t="shared" si="91"/>
        <v>-0.39065364469573161</v>
      </c>
    </row>
    <row r="1424" spans="1:14" x14ac:dyDescent="0.35">
      <c r="A1424">
        <v>1422</v>
      </c>
      <c r="B1424" t="s">
        <v>7</v>
      </c>
      <c r="C1424" t="s">
        <v>49</v>
      </c>
      <c r="D1424">
        <v>0.2</v>
      </c>
      <c r="E1424">
        <v>0.8</v>
      </c>
      <c r="F1424">
        <v>303.14999999999998</v>
      </c>
      <c r="G1424">
        <v>519.29999999999995</v>
      </c>
      <c r="H1424">
        <f t="shared" si="88"/>
        <v>-3.8873303928377747</v>
      </c>
      <c r="I1424">
        <v>2.0500000000000001E-2</v>
      </c>
      <c r="J1424" t="str">
        <f t="shared" si="89"/>
        <v>C[N+](C)(C)CCO.[Cl-]C1=COC(=C1)CO</v>
      </c>
      <c r="K1424">
        <v>85</v>
      </c>
      <c r="M1424">
        <f t="shared" si="90"/>
        <v>-0.72967870461249518</v>
      </c>
      <c r="N1424">
        <f t="shared" si="91"/>
        <v>-0.33092195428780213</v>
      </c>
    </row>
    <row r="1425" spans="1:14" x14ac:dyDescent="0.35">
      <c r="A1425">
        <v>1423</v>
      </c>
      <c r="B1425" t="s">
        <v>7</v>
      </c>
      <c r="C1425" t="s">
        <v>49</v>
      </c>
      <c r="D1425">
        <v>0.2</v>
      </c>
      <c r="E1425">
        <v>0.8</v>
      </c>
      <c r="F1425">
        <v>303.14999999999998</v>
      </c>
      <c r="G1425">
        <v>581.5</v>
      </c>
      <c r="H1425">
        <f t="shared" si="88"/>
        <v>-3.78</v>
      </c>
      <c r="I1425">
        <v>2.2822691425092981E-2</v>
      </c>
      <c r="J1425" t="str">
        <f t="shared" si="89"/>
        <v>C[N+](C)(C)CCO.[Cl-]C1=COC(=C1)CO</v>
      </c>
      <c r="K1425">
        <v>85</v>
      </c>
      <c r="M1425">
        <f t="shared" si="90"/>
        <v>-0.72967870461249518</v>
      </c>
      <c r="N1425">
        <f t="shared" si="91"/>
        <v>-0.29613439676558101</v>
      </c>
    </row>
    <row r="1426" spans="1:14" x14ac:dyDescent="0.35">
      <c r="A1426">
        <v>1424</v>
      </c>
      <c r="B1426" t="s">
        <v>7</v>
      </c>
      <c r="C1426" t="s">
        <v>49</v>
      </c>
      <c r="D1426">
        <v>0.2</v>
      </c>
      <c r="E1426">
        <v>0.8</v>
      </c>
      <c r="F1426">
        <v>313.14999999999998</v>
      </c>
      <c r="G1426">
        <v>70.3</v>
      </c>
      <c r="H1426">
        <f t="shared" si="88"/>
        <v>-5.99</v>
      </c>
      <c r="I1426">
        <v>2.5036640502020999E-3</v>
      </c>
      <c r="J1426" t="str">
        <f t="shared" si="89"/>
        <v>C[N+](C)(C)CCO.[Cl-]C1=COC(=C1)CO</v>
      </c>
      <c r="K1426">
        <v>85</v>
      </c>
      <c r="M1426">
        <f t="shared" si="90"/>
        <v>5.4037971934950142E-2</v>
      </c>
      <c r="N1426">
        <f t="shared" si="91"/>
        <v>-0.58204113961701887</v>
      </c>
    </row>
    <row r="1427" spans="1:14" x14ac:dyDescent="0.35">
      <c r="A1427">
        <v>1425</v>
      </c>
      <c r="B1427" t="s">
        <v>7</v>
      </c>
      <c r="C1427" t="s">
        <v>49</v>
      </c>
      <c r="D1427">
        <v>0.2</v>
      </c>
      <c r="E1427">
        <v>0.8</v>
      </c>
      <c r="F1427">
        <v>313.14999999999998</v>
      </c>
      <c r="G1427">
        <v>192.2</v>
      </c>
      <c r="H1427">
        <f t="shared" si="88"/>
        <v>-5.05</v>
      </c>
      <c r="I1427">
        <v>6.4093334462563831E-3</v>
      </c>
      <c r="J1427" t="str">
        <f t="shared" si="89"/>
        <v>C[N+](C)(C)CCO.[Cl-]C1=COC(=C1)CO</v>
      </c>
      <c r="K1427">
        <v>85</v>
      </c>
      <c r="M1427">
        <f t="shared" si="90"/>
        <v>5.4037971934950142E-2</v>
      </c>
      <c r="N1427">
        <f t="shared" si="91"/>
        <v>-0.51386423829935401</v>
      </c>
    </row>
    <row r="1428" spans="1:14" x14ac:dyDescent="0.35">
      <c r="A1428">
        <v>1426</v>
      </c>
      <c r="B1428" t="s">
        <v>7</v>
      </c>
      <c r="C1428" t="s">
        <v>49</v>
      </c>
      <c r="D1428">
        <v>0.2</v>
      </c>
      <c r="E1428">
        <v>0.8</v>
      </c>
      <c r="F1428">
        <v>313.14999999999998</v>
      </c>
      <c r="G1428">
        <v>295.39999999999998</v>
      </c>
      <c r="H1428">
        <f t="shared" si="88"/>
        <v>-4.62</v>
      </c>
      <c r="I1428">
        <v>9.8527960611872571E-3</v>
      </c>
      <c r="J1428" t="str">
        <f t="shared" si="89"/>
        <v>C[N+](C)(C)CCO.[Cl-]C1=COC(=C1)CO</v>
      </c>
      <c r="K1428">
        <v>85</v>
      </c>
      <c r="M1428">
        <f t="shared" si="90"/>
        <v>5.4037971934950142E-2</v>
      </c>
      <c r="N1428">
        <f t="shared" si="91"/>
        <v>-0.45614597565798393</v>
      </c>
    </row>
    <row r="1429" spans="1:14" x14ac:dyDescent="0.35">
      <c r="A1429">
        <v>1427</v>
      </c>
      <c r="B1429" t="s">
        <v>7</v>
      </c>
      <c r="C1429" t="s">
        <v>49</v>
      </c>
      <c r="D1429">
        <v>0.2</v>
      </c>
      <c r="E1429">
        <v>0.8</v>
      </c>
      <c r="F1429">
        <v>313.14999999999998</v>
      </c>
      <c r="G1429">
        <v>403.5</v>
      </c>
      <c r="H1429">
        <f t="shared" si="88"/>
        <v>-4.32</v>
      </c>
      <c r="I1429">
        <v>1.3299883542443767E-2</v>
      </c>
      <c r="J1429" t="str">
        <f t="shared" si="89"/>
        <v>C[N+](C)(C)CCO.[Cl-]C1=COC(=C1)CO</v>
      </c>
      <c r="K1429">
        <v>85</v>
      </c>
      <c r="M1429">
        <f t="shared" si="90"/>
        <v>5.4037971934950142E-2</v>
      </c>
      <c r="N1429">
        <f t="shared" si="91"/>
        <v>-0.3956872141121302</v>
      </c>
    </row>
    <row r="1430" spans="1:14" x14ac:dyDescent="0.35">
      <c r="A1430">
        <v>1428</v>
      </c>
      <c r="B1430" t="s">
        <v>7</v>
      </c>
      <c r="C1430" t="s">
        <v>49</v>
      </c>
      <c r="D1430">
        <v>0.2</v>
      </c>
      <c r="E1430">
        <v>0.8</v>
      </c>
      <c r="F1430">
        <v>313.14999999999998</v>
      </c>
      <c r="G1430">
        <v>502.8</v>
      </c>
      <c r="H1430">
        <f t="shared" si="88"/>
        <v>-4.1043948980756024</v>
      </c>
      <c r="I1430">
        <v>1.6500000000000001E-2</v>
      </c>
      <c r="J1430" t="str">
        <f t="shared" si="89"/>
        <v>C[N+](C)(C)CCO.[Cl-]C1=COC(=C1)CO</v>
      </c>
      <c r="K1430">
        <v>85</v>
      </c>
      <c r="M1430">
        <f t="shared" si="90"/>
        <v>5.4037971934950142E-2</v>
      </c>
      <c r="N1430">
        <f t="shared" si="91"/>
        <v>-0.34015016488453281</v>
      </c>
    </row>
    <row r="1431" spans="1:14" x14ac:dyDescent="0.35">
      <c r="A1431">
        <v>1429</v>
      </c>
      <c r="B1431" t="s">
        <v>7</v>
      </c>
      <c r="C1431" t="s">
        <v>49</v>
      </c>
      <c r="D1431">
        <v>0.2</v>
      </c>
      <c r="E1431">
        <v>0.8</v>
      </c>
      <c r="F1431">
        <v>313.14999999999998</v>
      </c>
      <c r="G1431">
        <v>568.79999999999995</v>
      </c>
      <c r="H1431">
        <f t="shared" si="88"/>
        <v>-4</v>
      </c>
      <c r="I1431">
        <v>1.8315638888734179E-2</v>
      </c>
      <c r="J1431" t="str">
        <f t="shared" si="89"/>
        <v>C[N+](C)(C)CCO.[Cl-]C1=COC(=C1)CO</v>
      </c>
      <c r="K1431">
        <v>85</v>
      </c>
      <c r="M1431">
        <f t="shared" si="90"/>
        <v>5.4037971934950142E-2</v>
      </c>
      <c r="N1431">
        <f t="shared" si="91"/>
        <v>-0.3032373224976101</v>
      </c>
    </row>
    <row r="1432" spans="1:14" x14ac:dyDescent="0.35">
      <c r="A1432">
        <v>1430</v>
      </c>
      <c r="B1432" t="s">
        <v>7</v>
      </c>
      <c r="C1432" t="s">
        <v>49</v>
      </c>
      <c r="D1432">
        <v>0.2</v>
      </c>
      <c r="E1432">
        <v>0.8</v>
      </c>
      <c r="F1432">
        <v>323.14999999999998</v>
      </c>
      <c r="G1432">
        <v>65.2</v>
      </c>
      <c r="H1432">
        <f t="shared" si="88"/>
        <v>-6.17</v>
      </c>
      <c r="I1432">
        <v>2.0912360005151103E-3</v>
      </c>
      <c r="J1432" t="str">
        <f t="shared" si="89"/>
        <v>C[N+](C)(C)CCO.[Cl-]C1=COC(=C1)CO</v>
      </c>
      <c r="K1432">
        <v>85</v>
      </c>
      <c r="M1432">
        <f t="shared" si="90"/>
        <v>0.83775464848239545</v>
      </c>
      <c r="N1432">
        <f t="shared" si="91"/>
        <v>-0.58489349561964477</v>
      </c>
    </row>
    <row r="1433" spans="1:14" x14ac:dyDescent="0.35">
      <c r="A1433">
        <v>1431</v>
      </c>
      <c r="B1433" t="s">
        <v>7</v>
      </c>
      <c r="C1433" t="s">
        <v>49</v>
      </c>
      <c r="D1433">
        <v>0.2</v>
      </c>
      <c r="E1433">
        <v>0.8</v>
      </c>
      <c r="F1433">
        <v>323.14999999999998</v>
      </c>
      <c r="G1433">
        <v>188.1</v>
      </c>
      <c r="H1433">
        <f t="shared" si="88"/>
        <v>-5.24</v>
      </c>
      <c r="I1433">
        <v>5.3002568358704021E-3</v>
      </c>
      <c r="J1433" t="str">
        <f t="shared" si="89"/>
        <v>C[N+](C)(C)CCO.[Cl-]C1=COC(=C1)CO</v>
      </c>
      <c r="K1433">
        <v>85</v>
      </c>
      <c r="M1433">
        <f t="shared" si="90"/>
        <v>0.83775464848239545</v>
      </c>
      <c r="N1433">
        <f t="shared" si="91"/>
        <v>-0.51615730881126887</v>
      </c>
    </row>
    <row r="1434" spans="1:14" x14ac:dyDescent="0.35">
      <c r="A1434">
        <v>1432</v>
      </c>
      <c r="B1434" t="s">
        <v>7</v>
      </c>
      <c r="C1434" t="s">
        <v>49</v>
      </c>
      <c r="D1434">
        <v>0.2</v>
      </c>
      <c r="E1434">
        <v>0.8</v>
      </c>
      <c r="F1434">
        <v>323.14999999999998</v>
      </c>
      <c r="G1434">
        <v>296.2</v>
      </c>
      <c r="H1434">
        <f t="shared" si="88"/>
        <v>-4.7699999999999996</v>
      </c>
      <c r="I1434">
        <v>8.4803801599532685E-3</v>
      </c>
      <c r="J1434" t="str">
        <f t="shared" si="89"/>
        <v>C[N+](C)(C)CCO.[Cl-]C1=COC(=C1)CO</v>
      </c>
      <c r="K1434">
        <v>85</v>
      </c>
      <c r="M1434">
        <f t="shared" si="90"/>
        <v>0.83775464848239545</v>
      </c>
      <c r="N1434">
        <f t="shared" si="91"/>
        <v>-0.45569854726541514</v>
      </c>
    </row>
    <row r="1435" spans="1:14" x14ac:dyDescent="0.35">
      <c r="A1435">
        <v>1433</v>
      </c>
      <c r="B1435" t="s">
        <v>7</v>
      </c>
      <c r="C1435" t="s">
        <v>49</v>
      </c>
      <c r="D1435">
        <v>0.2</v>
      </c>
      <c r="E1435">
        <v>0.8</v>
      </c>
      <c r="F1435">
        <v>323.14999999999998</v>
      </c>
      <c r="G1435">
        <v>399.3</v>
      </c>
      <c r="H1435">
        <f t="shared" si="88"/>
        <v>-4.4654082436129325</v>
      </c>
      <c r="I1435">
        <v>1.15E-2</v>
      </c>
      <c r="J1435" t="str">
        <f t="shared" si="89"/>
        <v>C[N+](C)(C)CCO.[Cl-]C1=COC(=C1)CO</v>
      </c>
      <c r="K1435">
        <v>85</v>
      </c>
      <c r="M1435">
        <f t="shared" si="90"/>
        <v>0.83775464848239545</v>
      </c>
      <c r="N1435">
        <f t="shared" si="91"/>
        <v>-0.39803621317311622</v>
      </c>
    </row>
    <row r="1436" spans="1:14" x14ac:dyDescent="0.35">
      <c r="A1436">
        <v>1434</v>
      </c>
      <c r="B1436" t="s">
        <v>7</v>
      </c>
      <c r="C1436" t="s">
        <v>49</v>
      </c>
      <c r="D1436">
        <v>0.2</v>
      </c>
      <c r="E1436">
        <v>0.8</v>
      </c>
      <c r="F1436">
        <v>323.14999999999998</v>
      </c>
      <c r="G1436">
        <v>494.2</v>
      </c>
      <c r="H1436">
        <f t="shared" si="88"/>
        <v>-4.25</v>
      </c>
      <c r="I1436">
        <v>1.4264233908999256E-2</v>
      </c>
      <c r="J1436" t="str">
        <f t="shared" si="89"/>
        <v>C[N+](C)(C)CCO.[Cl-]C1=COC(=C1)CO</v>
      </c>
      <c r="K1436">
        <v>85</v>
      </c>
      <c r="M1436">
        <f t="shared" si="90"/>
        <v>0.83775464848239545</v>
      </c>
      <c r="N1436">
        <f t="shared" si="91"/>
        <v>-0.34496002010464694</v>
      </c>
    </row>
    <row r="1437" spans="1:14" x14ac:dyDescent="0.35">
      <c r="A1437">
        <v>1435</v>
      </c>
      <c r="B1437" t="s">
        <v>7</v>
      </c>
      <c r="C1437" t="s">
        <v>49</v>
      </c>
      <c r="D1437">
        <v>0.2</v>
      </c>
      <c r="E1437">
        <v>0.8</v>
      </c>
      <c r="F1437">
        <v>323.14999999999998</v>
      </c>
      <c r="G1437">
        <v>565.79999999999995</v>
      </c>
      <c r="H1437">
        <f t="shared" si="88"/>
        <v>-4.1100000000000003</v>
      </c>
      <c r="I1437">
        <v>1.6407774526292645E-2</v>
      </c>
      <c r="J1437" t="str">
        <f t="shared" si="89"/>
        <v>C[N+](C)(C)CCO.[Cl-]C1=COC(=C1)CO</v>
      </c>
      <c r="K1437">
        <v>85</v>
      </c>
      <c r="M1437">
        <f t="shared" si="90"/>
        <v>0.83775464848239545</v>
      </c>
      <c r="N1437">
        <f t="shared" si="91"/>
        <v>-0.30491517896974296</v>
      </c>
    </row>
    <row r="1438" spans="1:14" x14ac:dyDescent="0.35">
      <c r="A1438">
        <v>1436</v>
      </c>
      <c r="B1438" t="s">
        <v>7</v>
      </c>
      <c r="C1438" t="s">
        <v>49</v>
      </c>
      <c r="D1438">
        <v>0.2</v>
      </c>
      <c r="E1438">
        <v>0.8</v>
      </c>
      <c r="F1438">
        <v>333.15</v>
      </c>
      <c r="G1438">
        <v>86.8</v>
      </c>
      <c r="H1438">
        <f t="shared" si="88"/>
        <v>-6.12</v>
      </c>
      <c r="I1438">
        <v>2.1984559630425313E-3</v>
      </c>
      <c r="J1438" t="str">
        <f t="shared" si="89"/>
        <v>C[N+](C)(C)CCO.[Cl-]C1=COC(=C1)CO</v>
      </c>
      <c r="K1438">
        <v>85</v>
      </c>
      <c r="M1438">
        <f t="shared" si="90"/>
        <v>1.6214713250298407</v>
      </c>
      <c r="N1438">
        <f t="shared" si="91"/>
        <v>-0.57281292902028824</v>
      </c>
    </row>
    <row r="1439" spans="1:14" x14ac:dyDescent="0.35">
      <c r="A1439">
        <v>1437</v>
      </c>
      <c r="B1439" t="s">
        <v>7</v>
      </c>
      <c r="C1439" t="s">
        <v>49</v>
      </c>
      <c r="D1439">
        <v>0.2</v>
      </c>
      <c r="E1439">
        <v>0.8</v>
      </c>
      <c r="F1439">
        <v>333.15</v>
      </c>
      <c r="G1439">
        <v>220.3</v>
      </c>
      <c r="H1439">
        <f t="shared" si="88"/>
        <v>-5.22</v>
      </c>
      <c r="I1439">
        <v>5.4073291264409599E-3</v>
      </c>
      <c r="J1439" t="str">
        <f t="shared" si="89"/>
        <v>C[N+](C)(C)CCO.[Cl-]C1=COC(=C1)CO</v>
      </c>
      <c r="K1439">
        <v>85</v>
      </c>
      <c r="M1439">
        <f t="shared" si="90"/>
        <v>1.6214713250298407</v>
      </c>
      <c r="N1439">
        <f t="shared" si="91"/>
        <v>-0.49814831601037635</v>
      </c>
    </row>
    <row r="1440" spans="1:14" x14ac:dyDescent="0.35">
      <c r="A1440">
        <v>1438</v>
      </c>
      <c r="B1440" t="s">
        <v>7</v>
      </c>
      <c r="C1440" t="s">
        <v>49</v>
      </c>
      <c r="D1440">
        <v>0.2</v>
      </c>
      <c r="E1440">
        <v>0.8</v>
      </c>
      <c r="F1440">
        <v>333.15</v>
      </c>
      <c r="G1440">
        <v>326.10000000000002</v>
      </c>
      <c r="H1440">
        <f t="shared" si="88"/>
        <v>-4.83</v>
      </c>
      <c r="I1440">
        <v>7.9865212659555023E-3</v>
      </c>
      <c r="J1440" t="str">
        <f t="shared" si="89"/>
        <v>C[N+](C)(C)CCO.[Cl-]C1=COC(=C1)CO</v>
      </c>
      <c r="K1440">
        <v>85</v>
      </c>
      <c r="M1440">
        <f t="shared" si="90"/>
        <v>1.6214713250298407</v>
      </c>
      <c r="N1440">
        <f t="shared" si="91"/>
        <v>-0.43897591109315776</v>
      </c>
    </row>
    <row r="1441" spans="1:14" x14ac:dyDescent="0.35">
      <c r="A1441">
        <v>1439</v>
      </c>
      <c r="B1441" t="s">
        <v>7</v>
      </c>
      <c r="C1441" t="s">
        <v>49</v>
      </c>
      <c r="D1441">
        <v>0.2</v>
      </c>
      <c r="E1441">
        <v>0.8</v>
      </c>
      <c r="F1441">
        <v>333.15</v>
      </c>
      <c r="G1441">
        <v>426.6</v>
      </c>
      <c r="H1441">
        <f t="shared" si="88"/>
        <v>-4.53</v>
      </c>
      <c r="I1441">
        <v>1.0780676072743084E-2</v>
      </c>
      <c r="J1441" t="str">
        <f t="shared" si="89"/>
        <v>C[N+](C)(C)CCO.[Cl-]C1=COC(=C1)CO</v>
      </c>
      <c r="K1441">
        <v>85</v>
      </c>
      <c r="M1441">
        <f t="shared" si="90"/>
        <v>1.6214713250298407</v>
      </c>
      <c r="N1441">
        <f t="shared" si="91"/>
        <v>-0.38276771927670722</v>
      </c>
    </row>
    <row r="1442" spans="1:14" x14ac:dyDescent="0.35">
      <c r="A1442">
        <v>1440</v>
      </c>
      <c r="B1442" t="s">
        <v>7</v>
      </c>
      <c r="C1442" t="s">
        <v>49</v>
      </c>
      <c r="D1442">
        <v>0.2</v>
      </c>
      <c r="E1442">
        <v>0.8</v>
      </c>
      <c r="F1442">
        <v>333.15</v>
      </c>
      <c r="G1442">
        <v>529.6</v>
      </c>
      <c r="H1442">
        <f t="shared" si="88"/>
        <v>-4.3351430487750315</v>
      </c>
      <c r="I1442">
        <v>1.3100000000000001E-2</v>
      </c>
      <c r="J1442" t="str">
        <f t="shared" si="89"/>
        <v>C[N+](C)(C)CCO.[Cl-]C1=COC(=C1)CO</v>
      </c>
      <c r="K1442">
        <v>85</v>
      </c>
      <c r="M1442">
        <f t="shared" si="90"/>
        <v>1.6214713250298407</v>
      </c>
      <c r="N1442">
        <f t="shared" si="91"/>
        <v>-0.32516131373347928</v>
      </c>
    </row>
    <row r="1443" spans="1:14" x14ac:dyDescent="0.35">
      <c r="A1443">
        <v>1441</v>
      </c>
      <c r="B1443" t="s">
        <v>7</v>
      </c>
      <c r="C1443" t="s">
        <v>49</v>
      </c>
      <c r="D1443">
        <v>0.2</v>
      </c>
      <c r="E1443">
        <v>0.8</v>
      </c>
      <c r="F1443">
        <v>333.15</v>
      </c>
      <c r="G1443">
        <v>585.4</v>
      </c>
      <c r="H1443">
        <f t="shared" si="88"/>
        <v>-4.2300000000000004</v>
      </c>
      <c r="I1443">
        <v>1.4552390548416123E-2</v>
      </c>
      <c r="J1443" t="str">
        <f t="shared" si="89"/>
        <v>C[N+](C)(C)CCO.[Cl-]C1=COC(=C1)CO</v>
      </c>
      <c r="K1443">
        <v>85</v>
      </c>
      <c r="M1443">
        <f t="shared" si="90"/>
        <v>1.6214713250298407</v>
      </c>
      <c r="N1443">
        <f t="shared" si="91"/>
        <v>-0.29395318335180831</v>
      </c>
    </row>
    <row r="1444" spans="1:14" x14ac:dyDescent="0.35">
      <c r="A1444">
        <v>1442</v>
      </c>
      <c r="B1444" t="s">
        <v>7</v>
      </c>
      <c r="C1444" t="s">
        <v>54</v>
      </c>
      <c r="D1444">
        <v>0.2</v>
      </c>
      <c r="E1444">
        <v>0.8</v>
      </c>
      <c r="F1444">
        <v>303.14999999999998</v>
      </c>
      <c r="G1444">
        <v>72.5</v>
      </c>
      <c r="H1444">
        <f t="shared" si="88"/>
        <v>-5.55</v>
      </c>
      <c r="I1444">
        <v>3.8874572434761303E-3</v>
      </c>
      <c r="J1444" t="str">
        <f t="shared" si="89"/>
        <v>C[N+](C)(C)CCO.[Cl-]CC(=O)CCC(=O)O</v>
      </c>
      <c r="K1444">
        <v>86</v>
      </c>
      <c r="M1444">
        <f t="shared" si="90"/>
        <v>-0.72967870461249518</v>
      </c>
      <c r="N1444">
        <f t="shared" si="91"/>
        <v>-0.58081071153745478</v>
      </c>
    </row>
    <row r="1445" spans="1:14" x14ac:dyDescent="0.35">
      <c r="A1445">
        <v>1443</v>
      </c>
      <c r="B1445" t="s">
        <v>7</v>
      </c>
      <c r="C1445" t="s">
        <v>54</v>
      </c>
      <c r="D1445">
        <v>0.2</v>
      </c>
      <c r="E1445">
        <v>0.8</v>
      </c>
      <c r="F1445">
        <v>303.14999999999998</v>
      </c>
      <c r="G1445">
        <v>201.2</v>
      </c>
      <c r="H1445">
        <f t="shared" si="88"/>
        <v>-4.5199999999999996</v>
      </c>
      <c r="I1445">
        <v>1.0889023668554451E-2</v>
      </c>
      <c r="J1445" t="str">
        <f t="shared" si="89"/>
        <v>C[N+](C)(C)CCO.[Cl-]CC(=O)CCC(=O)O</v>
      </c>
      <c r="K1445">
        <v>86</v>
      </c>
      <c r="M1445">
        <f t="shared" si="90"/>
        <v>-0.72967870461249518</v>
      </c>
      <c r="N1445">
        <f t="shared" si="91"/>
        <v>-0.50883066888295547</v>
      </c>
    </row>
    <row r="1446" spans="1:14" x14ac:dyDescent="0.35">
      <c r="A1446">
        <v>1444</v>
      </c>
      <c r="B1446" t="s">
        <v>7</v>
      </c>
      <c r="C1446" t="s">
        <v>54</v>
      </c>
      <c r="D1446">
        <v>0.2</v>
      </c>
      <c r="E1446">
        <v>0.8</v>
      </c>
      <c r="F1446">
        <v>303.14999999999998</v>
      </c>
      <c r="G1446">
        <v>305.3</v>
      </c>
      <c r="H1446">
        <f t="shared" si="88"/>
        <v>-4.09</v>
      </c>
      <c r="I1446">
        <v>1.6739233558580632E-2</v>
      </c>
      <c r="J1446" t="str">
        <f t="shared" si="89"/>
        <v>C[N+](C)(C)CCO.[Cl-]CC(=O)CCC(=O)O</v>
      </c>
      <c r="K1446">
        <v>86</v>
      </c>
      <c r="M1446">
        <f t="shared" si="90"/>
        <v>-0.72967870461249518</v>
      </c>
      <c r="N1446">
        <f t="shared" si="91"/>
        <v>-0.45060904929994555</v>
      </c>
    </row>
    <row r="1447" spans="1:14" x14ac:dyDescent="0.35">
      <c r="A1447">
        <v>1445</v>
      </c>
      <c r="B1447" t="s">
        <v>7</v>
      </c>
      <c r="C1447" t="s">
        <v>54</v>
      </c>
      <c r="D1447">
        <v>0.2</v>
      </c>
      <c r="E1447">
        <v>0.8</v>
      </c>
      <c r="F1447">
        <v>303.14999999999998</v>
      </c>
      <c r="G1447">
        <v>410.6</v>
      </c>
      <c r="H1447">
        <f t="shared" si="88"/>
        <v>-3.7853903544947798</v>
      </c>
      <c r="I1447">
        <v>2.2700000000000001E-2</v>
      </c>
      <c r="J1447" t="str">
        <f t="shared" si="89"/>
        <v>C[N+](C)(C)CCO.[Cl-]CC(=O)CCC(=O)O</v>
      </c>
      <c r="K1447">
        <v>86</v>
      </c>
      <c r="M1447">
        <f t="shared" si="90"/>
        <v>-0.72967870461249518</v>
      </c>
      <c r="N1447">
        <f t="shared" si="91"/>
        <v>-0.39171628712808243</v>
      </c>
    </row>
    <row r="1448" spans="1:14" x14ac:dyDescent="0.35">
      <c r="A1448">
        <v>1446</v>
      </c>
      <c r="B1448" t="s">
        <v>7</v>
      </c>
      <c r="C1448" t="s">
        <v>54</v>
      </c>
      <c r="D1448">
        <v>0.2</v>
      </c>
      <c r="E1448">
        <v>0.8</v>
      </c>
      <c r="F1448">
        <v>303.14999999999998</v>
      </c>
      <c r="G1448">
        <v>508.4</v>
      </c>
      <c r="H1448">
        <f t="shared" si="88"/>
        <v>-3.5719857026424369</v>
      </c>
      <c r="I1448">
        <v>2.81E-2</v>
      </c>
      <c r="J1448" t="str">
        <f t="shared" si="89"/>
        <v>C[N+](C)(C)CCO.[Cl-]CC(=O)CCC(=O)O</v>
      </c>
      <c r="K1448">
        <v>86</v>
      </c>
      <c r="M1448">
        <f t="shared" si="90"/>
        <v>-0.72967870461249518</v>
      </c>
      <c r="N1448">
        <f t="shared" si="91"/>
        <v>-0.3370181661365515</v>
      </c>
    </row>
    <row r="1449" spans="1:14" x14ac:dyDescent="0.35">
      <c r="A1449">
        <v>1447</v>
      </c>
      <c r="B1449" t="s">
        <v>7</v>
      </c>
      <c r="C1449" t="s">
        <v>54</v>
      </c>
      <c r="D1449">
        <v>0.2</v>
      </c>
      <c r="E1449">
        <v>0.8</v>
      </c>
      <c r="F1449">
        <v>303.14999999999998</v>
      </c>
      <c r="G1449">
        <v>574.9</v>
      </c>
      <c r="H1449">
        <f t="shared" si="88"/>
        <v>-3.4545981583892704</v>
      </c>
      <c r="I1449">
        <v>3.1600000000000003E-2</v>
      </c>
      <c r="J1449" t="str">
        <f t="shared" si="89"/>
        <v>C[N+](C)(C)CCO.[Cl-]CC(=O)CCC(=O)O</v>
      </c>
      <c r="K1449">
        <v>86</v>
      </c>
      <c r="M1449">
        <f t="shared" si="90"/>
        <v>-0.72967870461249518</v>
      </c>
      <c r="N1449">
        <f t="shared" si="91"/>
        <v>-0.29982568100427326</v>
      </c>
    </row>
    <row r="1450" spans="1:14" x14ac:dyDescent="0.35">
      <c r="A1450">
        <v>1448</v>
      </c>
      <c r="B1450" t="s">
        <v>7</v>
      </c>
      <c r="C1450" t="s">
        <v>54</v>
      </c>
      <c r="D1450">
        <v>0.2</v>
      </c>
      <c r="E1450">
        <v>0.8</v>
      </c>
      <c r="F1450">
        <v>313.14999999999998</v>
      </c>
      <c r="G1450">
        <v>60</v>
      </c>
      <c r="H1450">
        <f t="shared" si="88"/>
        <v>-5.84</v>
      </c>
      <c r="I1450">
        <v>2.9088426258125841E-3</v>
      </c>
      <c r="J1450" t="str">
        <f t="shared" si="89"/>
        <v>C[N+](C)(C)CCO.[Cl-]CC(=O)CCC(=O)O</v>
      </c>
      <c r="K1450">
        <v>86</v>
      </c>
      <c r="M1450">
        <f t="shared" si="90"/>
        <v>5.4037971934950142E-2</v>
      </c>
      <c r="N1450">
        <f t="shared" si="91"/>
        <v>-0.58780178017134166</v>
      </c>
    </row>
    <row r="1451" spans="1:14" x14ac:dyDescent="0.35">
      <c r="A1451">
        <v>1449</v>
      </c>
      <c r="B1451" t="s">
        <v>7</v>
      </c>
      <c r="C1451" t="s">
        <v>54</v>
      </c>
      <c r="D1451">
        <v>0.2</v>
      </c>
      <c r="E1451">
        <v>0.8</v>
      </c>
      <c r="F1451">
        <v>313.14999999999998</v>
      </c>
      <c r="G1451">
        <v>176.9</v>
      </c>
      <c r="H1451">
        <f t="shared" si="88"/>
        <v>-4.7699999999999996</v>
      </c>
      <c r="I1451">
        <v>8.4803801599532685E-3</v>
      </c>
      <c r="J1451" t="str">
        <f t="shared" si="89"/>
        <v>C[N+](C)(C)CCO.[Cl-]CC(=O)CCC(=O)O</v>
      </c>
      <c r="K1451">
        <v>86</v>
      </c>
      <c r="M1451">
        <f t="shared" si="90"/>
        <v>5.4037971934950142E-2</v>
      </c>
      <c r="N1451">
        <f t="shared" si="91"/>
        <v>-0.5224213063072316</v>
      </c>
    </row>
    <row r="1452" spans="1:14" x14ac:dyDescent="0.35">
      <c r="A1452">
        <v>1450</v>
      </c>
      <c r="B1452" t="s">
        <v>7</v>
      </c>
      <c r="C1452" t="s">
        <v>54</v>
      </c>
      <c r="D1452">
        <v>0.2</v>
      </c>
      <c r="E1452">
        <v>0.8</v>
      </c>
      <c r="F1452">
        <v>313.14999999999998</v>
      </c>
      <c r="G1452">
        <v>282.39999999999998</v>
      </c>
      <c r="H1452">
        <f t="shared" si="88"/>
        <v>-4.3050655935377531</v>
      </c>
      <c r="I1452">
        <v>1.35E-2</v>
      </c>
      <c r="J1452" t="str">
        <f t="shared" si="89"/>
        <v>C[N+](C)(C)CCO.[Cl-]CC(=O)CCC(=O)O</v>
      </c>
      <c r="K1452">
        <v>86</v>
      </c>
      <c r="M1452">
        <f t="shared" si="90"/>
        <v>5.4037971934950142E-2</v>
      </c>
      <c r="N1452">
        <f t="shared" si="91"/>
        <v>-0.46341668703722633</v>
      </c>
    </row>
    <row r="1453" spans="1:14" x14ac:dyDescent="0.35">
      <c r="A1453">
        <v>1451</v>
      </c>
      <c r="B1453" t="s">
        <v>7</v>
      </c>
      <c r="C1453" t="s">
        <v>54</v>
      </c>
      <c r="D1453">
        <v>0.2</v>
      </c>
      <c r="E1453">
        <v>0.8</v>
      </c>
      <c r="F1453">
        <v>313.14999999999998</v>
      </c>
      <c r="G1453">
        <v>380.1</v>
      </c>
      <c r="H1453">
        <f t="shared" si="88"/>
        <v>-3.99</v>
      </c>
      <c r="I1453">
        <v>1.8499714119819242E-2</v>
      </c>
      <c r="J1453" t="str">
        <f t="shared" si="89"/>
        <v>C[N+](C)(C)CCO.[Cl-]CC(=O)CCC(=O)O</v>
      </c>
      <c r="K1453">
        <v>86</v>
      </c>
      <c r="M1453">
        <f t="shared" si="90"/>
        <v>5.4037971934950142E-2</v>
      </c>
      <c r="N1453">
        <f t="shared" si="91"/>
        <v>-0.40877449459476639</v>
      </c>
    </row>
    <row r="1454" spans="1:14" x14ac:dyDescent="0.35">
      <c r="A1454">
        <v>1452</v>
      </c>
      <c r="B1454" t="s">
        <v>7</v>
      </c>
      <c r="C1454" t="s">
        <v>54</v>
      </c>
      <c r="D1454">
        <v>0.2</v>
      </c>
      <c r="E1454">
        <v>0.8</v>
      </c>
      <c r="F1454">
        <v>313.14999999999998</v>
      </c>
      <c r="G1454">
        <v>485.1</v>
      </c>
      <c r="H1454">
        <f t="shared" si="88"/>
        <v>-3.77</v>
      </c>
      <c r="I1454">
        <v>2.3052063287225571E-2</v>
      </c>
      <c r="J1454" t="str">
        <f t="shared" si="89"/>
        <v>C[N+](C)(C)CCO.[Cl-]CC(=O)CCC(=O)O</v>
      </c>
      <c r="K1454">
        <v>86</v>
      </c>
      <c r="M1454">
        <f t="shared" si="90"/>
        <v>5.4037971934950142E-2</v>
      </c>
      <c r="N1454">
        <f t="shared" si="91"/>
        <v>-0.35004951807011658</v>
      </c>
    </row>
    <row r="1455" spans="1:14" x14ac:dyDescent="0.35">
      <c r="A1455">
        <v>1453</v>
      </c>
      <c r="B1455" t="s">
        <v>7</v>
      </c>
      <c r="C1455" t="s">
        <v>54</v>
      </c>
      <c r="D1455">
        <v>0.2</v>
      </c>
      <c r="E1455">
        <v>0.8</v>
      </c>
      <c r="F1455">
        <v>313.14999999999998</v>
      </c>
      <c r="G1455">
        <v>565.9</v>
      </c>
      <c r="H1455">
        <f t="shared" si="88"/>
        <v>-3.6</v>
      </c>
      <c r="I1455">
        <v>2.7323722447292559E-2</v>
      </c>
      <c r="J1455" t="str">
        <f t="shared" si="89"/>
        <v>C[N+](C)(C)CCO.[Cl-]CC(=O)CCC(=O)O</v>
      </c>
      <c r="K1455">
        <v>86</v>
      </c>
      <c r="M1455">
        <f t="shared" si="90"/>
        <v>5.4037971934950142E-2</v>
      </c>
      <c r="N1455">
        <f t="shared" si="91"/>
        <v>-0.3048592504206718</v>
      </c>
    </row>
    <row r="1456" spans="1:14" x14ac:dyDescent="0.35">
      <c r="A1456">
        <v>1454</v>
      </c>
      <c r="B1456" t="s">
        <v>7</v>
      </c>
      <c r="C1456" t="s">
        <v>54</v>
      </c>
      <c r="D1456">
        <v>0.2</v>
      </c>
      <c r="E1456">
        <v>0.8</v>
      </c>
      <c r="F1456">
        <v>323.14999999999998</v>
      </c>
      <c r="G1456">
        <v>83</v>
      </c>
      <c r="H1456">
        <f t="shared" si="88"/>
        <v>-5.74</v>
      </c>
      <c r="I1456">
        <v>3.21476827530687E-3</v>
      </c>
      <c r="J1456" t="str">
        <f t="shared" si="89"/>
        <v>C[N+](C)(C)CCO.[Cl-]CC(=O)CCC(=O)O</v>
      </c>
      <c r="K1456">
        <v>86</v>
      </c>
      <c r="M1456">
        <f t="shared" si="90"/>
        <v>0.83775464848239545</v>
      </c>
      <c r="N1456">
        <f t="shared" si="91"/>
        <v>-0.57493821388498978</v>
      </c>
    </row>
    <row r="1457" spans="1:14" x14ac:dyDescent="0.35">
      <c r="A1457">
        <v>1455</v>
      </c>
      <c r="B1457" t="s">
        <v>7</v>
      </c>
      <c r="C1457" t="s">
        <v>54</v>
      </c>
      <c r="D1457">
        <v>0.2</v>
      </c>
      <c r="E1457">
        <v>0.8</v>
      </c>
      <c r="F1457">
        <v>323.14999999999998</v>
      </c>
      <c r="G1457">
        <v>219.6</v>
      </c>
      <c r="H1457">
        <f t="shared" si="88"/>
        <v>-4.78</v>
      </c>
      <c r="I1457">
        <v>8.3959989674914706E-3</v>
      </c>
      <c r="J1457" t="str">
        <f t="shared" si="89"/>
        <v>C[N+](C)(C)CCO.[Cl-]CC(=O)CCC(=O)O</v>
      </c>
      <c r="K1457">
        <v>86</v>
      </c>
      <c r="M1457">
        <f t="shared" si="90"/>
        <v>0.83775464848239545</v>
      </c>
      <c r="N1457">
        <f t="shared" si="91"/>
        <v>-0.49853981585387397</v>
      </c>
    </row>
    <row r="1458" spans="1:14" x14ac:dyDescent="0.35">
      <c r="A1458">
        <v>1456</v>
      </c>
      <c r="B1458" t="s">
        <v>7</v>
      </c>
      <c r="C1458" t="s">
        <v>54</v>
      </c>
      <c r="D1458">
        <v>0.2</v>
      </c>
      <c r="E1458">
        <v>0.8</v>
      </c>
      <c r="F1458">
        <v>323.14999999999998</v>
      </c>
      <c r="G1458">
        <v>321.10000000000002</v>
      </c>
      <c r="H1458">
        <f t="shared" si="88"/>
        <v>-4.38</v>
      </c>
      <c r="I1458">
        <v>1.2525358621074385E-2</v>
      </c>
      <c r="J1458" t="str">
        <f t="shared" si="89"/>
        <v>C[N+](C)(C)CCO.[Cl-]CC(=O)CCC(=O)O</v>
      </c>
      <c r="K1458">
        <v>86</v>
      </c>
      <c r="M1458">
        <f t="shared" si="90"/>
        <v>0.83775464848239545</v>
      </c>
      <c r="N1458">
        <f t="shared" si="91"/>
        <v>-0.4417723385467125</v>
      </c>
    </row>
    <row r="1459" spans="1:14" x14ac:dyDescent="0.35">
      <c r="A1459">
        <v>1457</v>
      </c>
      <c r="B1459" t="s">
        <v>7</v>
      </c>
      <c r="C1459" t="s">
        <v>54</v>
      </c>
      <c r="D1459">
        <v>0.2</v>
      </c>
      <c r="E1459">
        <v>0.8</v>
      </c>
      <c r="F1459">
        <v>323.14999999999998</v>
      </c>
      <c r="G1459">
        <v>423.5</v>
      </c>
      <c r="H1459">
        <f t="shared" si="88"/>
        <v>-4.09</v>
      </c>
      <c r="I1459">
        <v>1.6739233558580632E-2</v>
      </c>
      <c r="J1459" t="str">
        <f t="shared" si="89"/>
        <v>C[N+](C)(C)CCO.[Cl-]CC(=O)CCC(=O)O</v>
      </c>
      <c r="K1459">
        <v>86</v>
      </c>
      <c r="M1459">
        <f t="shared" si="90"/>
        <v>0.83775464848239545</v>
      </c>
      <c r="N1459">
        <f t="shared" si="91"/>
        <v>-0.38450150429791119</v>
      </c>
    </row>
    <row r="1460" spans="1:14" x14ac:dyDescent="0.35">
      <c r="A1460">
        <v>1458</v>
      </c>
      <c r="B1460" t="s">
        <v>7</v>
      </c>
      <c r="C1460" t="s">
        <v>54</v>
      </c>
      <c r="D1460">
        <v>0.2</v>
      </c>
      <c r="E1460">
        <v>0.8</v>
      </c>
      <c r="F1460">
        <v>323.14999999999998</v>
      </c>
      <c r="G1460">
        <v>523.79999999999995</v>
      </c>
      <c r="H1460">
        <f t="shared" si="88"/>
        <v>-3.8873303928377747</v>
      </c>
      <c r="I1460">
        <v>2.0500000000000001E-2</v>
      </c>
      <c r="J1460" t="str">
        <f t="shared" si="89"/>
        <v>C[N+](C)(C)CCO.[Cl-]CC(=O)CCC(=O)O</v>
      </c>
      <c r="K1460">
        <v>86</v>
      </c>
      <c r="M1460">
        <f t="shared" si="90"/>
        <v>0.83775464848239545</v>
      </c>
      <c r="N1460">
        <f t="shared" si="91"/>
        <v>-0.32840516957960286</v>
      </c>
    </row>
    <row r="1461" spans="1:14" x14ac:dyDescent="0.35">
      <c r="A1461">
        <v>1459</v>
      </c>
      <c r="B1461" t="s">
        <v>7</v>
      </c>
      <c r="C1461" t="s">
        <v>54</v>
      </c>
      <c r="D1461">
        <v>0.2</v>
      </c>
      <c r="E1461">
        <v>0.8</v>
      </c>
      <c r="F1461">
        <v>323.14999999999998</v>
      </c>
      <c r="G1461">
        <v>584.20000000000005</v>
      </c>
      <c r="H1461">
        <f t="shared" si="88"/>
        <v>-3.7766183684219432</v>
      </c>
      <c r="I1461">
        <v>2.29E-2</v>
      </c>
      <c r="J1461" t="str">
        <f t="shared" si="89"/>
        <v>C[N+](C)(C)CCO.[Cl-]CC(=O)CCC(=O)O</v>
      </c>
      <c r="K1461">
        <v>86</v>
      </c>
      <c r="M1461">
        <f t="shared" si="90"/>
        <v>0.83775464848239545</v>
      </c>
      <c r="N1461">
        <f t="shared" si="91"/>
        <v>-0.2946243259406614</v>
      </c>
    </row>
    <row r="1462" spans="1:14" x14ac:dyDescent="0.35">
      <c r="A1462">
        <v>1460</v>
      </c>
      <c r="B1462" t="s">
        <v>7</v>
      </c>
      <c r="C1462" t="s">
        <v>54</v>
      </c>
      <c r="D1462">
        <v>0.2</v>
      </c>
      <c r="E1462">
        <v>0.8</v>
      </c>
      <c r="F1462">
        <v>333.15</v>
      </c>
      <c r="G1462">
        <v>82.6</v>
      </c>
      <c r="H1462">
        <f t="shared" si="88"/>
        <v>-6.03</v>
      </c>
      <c r="I1462">
        <v>2.4054939786195095E-3</v>
      </c>
      <c r="J1462" t="str">
        <f t="shared" si="89"/>
        <v>C[N+](C)(C)CCO.[Cl-]CC(=O)CCC(=O)O</v>
      </c>
      <c r="K1462">
        <v>86</v>
      </c>
      <c r="M1462">
        <f t="shared" si="90"/>
        <v>1.6214713250298407</v>
      </c>
      <c r="N1462">
        <f t="shared" si="91"/>
        <v>-0.5751619280812742</v>
      </c>
    </row>
    <row r="1463" spans="1:14" x14ac:dyDescent="0.35">
      <c r="A1463">
        <v>1461</v>
      </c>
      <c r="B1463" t="s">
        <v>7</v>
      </c>
      <c r="C1463" t="s">
        <v>54</v>
      </c>
      <c r="D1463">
        <v>0.2</v>
      </c>
      <c r="E1463">
        <v>0.8</v>
      </c>
      <c r="F1463">
        <v>333.15</v>
      </c>
      <c r="G1463">
        <v>218.5</v>
      </c>
      <c r="H1463">
        <f t="shared" si="88"/>
        <v>-4.93</v>
      </c>
      <c r="I1463">
        <v>7.2265032813764625E-3</v>
      </c>
      <c r="J1463" t="str">
        <f t="shared" si="89"/>
        <v>C[N+](C)(C)CCO.[Cl-]CC(=O)CCC(=O)O</v>
      </c>
      <c r="K1463">
        <v>86</v>
      </c>
      <c r="M1463">
        <f t="shared" si="90"/>
        <v>1.6214713250298407</v>
      </c>
      <c r="N1463">
        <f t="shared" si="91"/>
        <v>-0.49915502989365601</v>
      </c>
    </row>
    <row r="1464" spans="1:14" x14ac:dyDescent="0.35">
      <c r="A1464">
        <v>1462</v>
      </c>
      <c r="B1464" t="s">
        <v>7</v>
      </c>
      <c r="C1464" t="s">
        <v>54</v>
      </c>
      <c r="D1464">
        <v>0.2</v>
      </c>
      <c r="E1464">
        <v>0.8</v>
      </c>
      <c r="F1464">
        <v>333.15</v>
      </c>
      <c r="G1464">
        <v>326</v>
      </c>
      <c r="H1464">
        <f t="shared" si="88"/>
        <v>-4.58</v>
      </c>
      <c r="I1464">
        <v>1.0254896296404022E-2</v>
      </c>
      <c r="J1464" t="str">
        <f t="shared" si="89"/>
        <v>C[N+](C)(C)CCO.[Cl-]CC(=O)CCC(=O)O</v>
      </c>
      <c r="K1464">
        <v>86</v>
      </c>
      <c r="M1464">
        <f t="shared" si="90"/>
        <v>1.6214713250298407</v>
      </c>
      <c r="N1464">
        <f t="shared" si="91"/>
        <v>-0.43903183964222886</v>
      </c>
    </row>
    <row r="1465" spans="1:14" x14ac:dyDescent="0.35">
      <c r="A1465">
        <v>1463</v>
      </c>
      <c r="B1465" t="s">
        <v>7</v>
      </c>
      <c r="C1465" t="s">
        <v>54</v>
      </c>
      <c r="D1465">
        <v>0.2</v>
      </c>
      <c r="E1465">
        <v>0.8</v>
      </c>
      <c r="F1465">
        <v>333.15</v>
      </c>
      <c r="G1465">
        <v>426.2</v>
      </c>
      <c r="H1465">
        <f t="shared" si="88"/>
        <v>-4.28</v>
      </c>
      <c r="I1465">
        <v>1.3842662086479501E-2</v>
      </c>
      <c r="J1465" t="str">
        <f t="shared" si="89"/>
        <v>C[N+](C)(C)CCO.[Cl-]CC(=O)CCC(=O)O</v>
      </c>
      <c r="K1465">
        <v>86</v>
      </c>
      <c r="M1465">
        <f t="shared" si="90"/>
        <v>1.6214713250298407</v>
      </c>
      <c r="N1465">
        <f t="shared" si="91"/>
        <v>-0.38299143347299158</v>
      </c>
    </row>
    <row r="1466" spans="1:14" x14ac:dyDescent="0.35">
      <c r="A1466">
        <v>1464</v>
      </c>
      <c r="B1466" t="s">
        <v>7</v>
      </c>
      <c r="C1466" t="s">
        <v>54</v>
      </c>
      <c r="D1466">
        <v>0.2</v>
      </c>
      <c r="E1466">
        <v>0.8</v>
      </c>
      <c r="F1466">
        <v>333.15</v>
      </c>
      <c r="G1466">
        <v>528.5</v>
      </c>
      <c r="H1466">
        <f t="shared" si="88"/>
        <v>-4.086376392572924</v>
      </c>
      <c r="I1466">
        <v>1.6799999999999999E-2</v>
      </c>
      <c r="J1466" t="str">
        <f t="shared" si="89"/>
        <v>C[N+](C)(C)CCO.[Cl-]CC(=O)CCC(=O)O</v>
      </c>
      <c r="K1466">
        <v>86</v>
      </c>
      <c r="M1466">
        <f t="shared" si="90"/>
        <v>1.6214713250298407</v>
      </c>
      <c r="N1466">
        <f t="shared" si="91"/>
        <v>-0.32577652777326138</v>
      </c>
    </row>
    <row r="1467" spans="1:14" x14ac:dyDescent="0.35">
      <c r="A1467">
        <v>1465</v>
      </c>
      <c r="B1467" t="s">
        <v>7</v>
      </c>
      <c r="C1467" t="s">
        <v>54</v>
      </c>
      <c r="D1467">
        <v>0.2</v>
      </c>
      <c r="E1467">
        <v>0.8</v>
      </c>
      <c r="F1467">
        <v>333.15</v>
      </c>
      <c r="G1467">
        <v>587.4</v>
      </c>
      <c r="H1467">
        <f t="shared" si="88"/>
        <v>-3.99</v>
      </c>
      <c r="I1467">
        <v>1.8499714119819242E-2</v>
      </c>
      <c r="J1467" t="str">
        <f t="shared" si="89"/>
        <v>C[N+](C)(C)CCO.[Cl-]CC(=O)CCC(=O)O</v>
      </c>
      <c r="K1467">
        <v>86</v>
      </c>
      <c r="M1467">
        <f t="shared" si="90"/>
        <v>1.6214713250298407</v>
      </c>
      <c r="N1467">
        <f t="shared" si="91"/>
        <v>-0.29283461237038638</v>
      </c>
    </row>
    <row r="1468" spans="1:14" x14ac:dyDescent="0.35">
      <c r="A1468">
        <v>1466</v>
      </c>
      <c r="B1468" t="s">
        <v>7</v>
      </c>
      <c r="C1468" t="s">
        <v>58</v>
      </c>
      <c r="D1468">
        <v>0.2</v>
      </c>
      <c r="E1468">
        <v>0.8</v>
      </c>
      <c r="F1468">
        <v>293.14999999999998</v>
      </c>
      <c r="G1468">
        <v>108.2</v>
      </c>
      <c r="H1468">
        <f t="shared" si="88"/>
        <v>-5.45</v>
      </c>
      <c r="I1468">
        <v>4.2963046907523398E-3</v>
      </c>
      <c r="J1468" t="str">
        <f t="shared" si="89"/>
        <v>C[N+](C)(C)CCO.[Cl-]C1=CC=C(C=C1)O</v>
      </c>
      <c r="K1468">
        <v>84</v>
      </c>
      <c r="M1468">
        <f t="shared" si="90"/>
        <v>-1.5133953811599403</v>
      </c>
      <c r="N1468">
        <f t="shared" si="91"/>
        <v>-0.56084421951907382</v>
      </c>
    </row>
    <row r="1469" spans="1:14" x14ac:dyDescent="0.35">
      <c r="A1469">
        <v>1467</v>
      </c>
      <c r="B1469" t="s">
        <v>7</v>
      </c>
      <c r="C1469" t="s">
        <v>58</v>
      </c>
      <c r="D1469">
        <v>0.2</v>
      </c>
      <c r="E1469">
        <v>0.8</v>
      </c>
      <c r="F1469">
        <v>293.14999999999998</v>
      </c>
      <c r="G1469">
        <v>212.1</v>
      </c>
      <c r="H1469">
        <f t="shared" si="88"/>
        <v>-4.79</v>
      </c>
      <c r="I1469">
        <v>8.3124573819231187E-3</v>
      </c>
      <c r="J1469" t="str">
        <f t="shared" si="89"/>
        <v>C[N+](C)(C)CCO.[Cl-]C1=CC=C(C=C1)O</v>
      </c>
      <c r="K1469">
        <v>84</v>
      </c>
      <c r="M1469">
        <f t="shared" si="90"/>
        <v>-1.5133953811599403</v>
      </c>
      <c r="N1469">
        <f t="shared" si="91"/>
        <v>-0.50273445703420605</v>
      </c>
    </row>
    <row r="1470" spans="1:14" x14ac:dyDescent="0.35">
      <c r="A1470">
        <v>1468</v>
      </c>
      <c r="B1470" t="s">
        <v>7</v>
      </c>
      <c r="C1470" t="s">
        <v>58</v>
      </c>
      <c r="D1470">
        <v>0.2</v>
      </c>
      <c r="E1470">
        <v>0.8</v>
      </c>
      <c r="F1470">
        <v>293.14999999999998</v>
      </c>
      <c r="G1470">
        <v>312.60000000000002</v>
      </c>
      <c r="H1470">
        <f t="shared" si="88"/>
        <v>-4.38</v>
      </c>
      <c r="I1470">
        <v>1.2525358621074385E-2</v>
      </c>
      <c r="J1470" t="str">
        <f t="shared" si="89"/>
        <v>C[N+](C)(C)CCO.[Cl-]C1=CC=C(C=C1)O</v>
      </c>
      <c r="K1470">
        <v>84</v>
      </c>
      <c r="M1470">
        <f t="shared" si="90"/>
        <v>-1.5133953811599403</v>
      </c>
      <c r="N1470">
        <f t="shared" si="91"/>
        <v>-0.44652626521775557</v>
      </c>
    </row>
    <row r="1471" spans="1:14" x14ac:dyDescent="0.35">
      <c r="A1471">
        <v>1469</v>
      </c>
      <c r="B1471" t="s">
        <v>7</v>
      </c>
      <c r="C1471" t="s">
        <v>58</v>
      </c>
      <c r="D1471">
        <v>0.2</v>
      </c>
      <c r="E1471">
        <v>0.8</v>
      </c>
      <c r="F1471">
        <v>293.14999999999998</v>
      </c>
      <c r="G1471">
        <v>401.6</v>
      </c>
      <c r="H1471">
        <f t="shared" si="88"/>
        <v>-4.12</v>
      </c>
      <c r="I1471">
        <v>1.6244514441949871E-2</v>
      </c>
      <c r="J1471" t="str">
        <f t="shared" si="89"/>
        <v>C[N+](C)(C)CCO.[Cl-]C1=CC=C(C=C1)O</v>
      </c>
      <c r="K1471">
        <v>84</v>
      </c>
      <c r="M1471">
        <f t="shared" si="90"/>
        <v>-1.5133953811599403</v>
      </c>
      <c r="N1471">
        <f t="shared" si="91"/>
        <v>-0.39674985654448097</v>
      </c>
    </row>
    <row r="1472" spans="1:14" x14ac:dyDescent="0.35">
      <c r="A1472">
        <v>1470</v>
      </c>
      <c r="B1472" t="s">
        <v>7</v>
      </c>
      <c r="C1472" t="s">
        <v>58</v>
      </c>
      <c r="D1472">
        <v>0.2</v>
      </c>
      <c r="E1472">
        <v>0.8</v>
      </c>
      <c r="F1472">
        <v>293.14999999999998</v>
      </c>
      <c r="G1472">
        <v>509.2</v>
      </c>
      <c r="H1472">
        <f t="shared" si="88"/>
        <v>-3.85</v>
      </c>
      <c r="I1472">
        <v>2.1279736438377168E-2</v>
      </c>
      <c r="J1472" t="str">
        <f t="shared" si="89"/>
        <v>C[N+](C)(C)CCO.[Cl-]C1=CC=C(C=C1)O</v>
      </c>
      <c r="K1472">
        <v>84</v>
      </c>
      <c r="M1472">
        <f t="shared" si="90"/>
        <v>-1.5133953811599403</v>
      </c>
      <c r="N1472">
        <f t="shared" si="91"/>
        <v>-0.33657073774398266</v>
      </c>
    </row>
    <row r="1473" spans="1:14" x14ac:dyDescent="0.35">
      <c r="A1473">
        <v>1471</v>
      </c>
      <c r="B1473" t="s">
        <v>7</v>
      </c>
      <c r="C1473" t="s">
        <v>58</v>
      </c>
      <c r="D1473">
        <v>0.2</v>
      </c>
      <c r="E1473">
        <v>0.8</v>
      </c>
      <c r="F1473">
        <v>303.14999999999998</v>
      </c>
      <c r="G1473">
        <v>115</v>
      </c>
      <c r="H1473">
        <f t="shared" si="88"/>
        <v>-5.66</v>
      </c>
      <c r="I1473">
        <v>3.4825168982116632E-3</v>
      </c>
      <c r="J1473" t="str">
        <f t="shared" si="89"/>
        <v>C[N+](C)(C)CCO.[Cl-]C1=CC=C(C=C1)O</v>
      </c>
      <c r="K1473">
        <v>84</v>
      </c>
      <c r="M1473">
        <f t="shared" si="90"/>
        <v>-0.72967870461249518</v>
      </c>
      <c r="N1473">
        <f t="shared" si="91"/>
        <v>-0.55704107818223936</v>
      </c>
    </row>
    <row r="1474" spans="1:14" x14ac:dyDescent="0.35">
      <c r="A1474">
        <v>1472</v>
      </c>
      <c r="B1474" t="s">
        <v>7</v>
      </c>
      <c r="C1474" t="s">
        <v>58</v>
      </c>
      <c r="D1474">
        <v>0.2</v>
      </c>
      <c r="E1474">
        <v>0.8</v>
      </c>
      <c r="F1474">
        <v>303.14999999999998</v>
      </c>
      <c r="G1474">
        <v>220</v>
      </c>
      <c r="H1474">
        <f t="shared" si="88"/>
        <v>-5.01</v>
      </c>
      <c r="I1474">
        <v>6.6709033062552743E-3</v>
      </c>
      <c r="J1474" t="str">
        <f t="shared" si="89"/>
        <v>C[N+](C)(C)CCO.[Cl-]C1=CC=C(C=C1)O</v>
      </c>
      <c r="K1474">
        <v>84</v>
      </c>
      <c r="M1474">
        <f t="shared" si="90"/>
        <v>-0.72967870461249518</v>
      </c>
      <c r="N1474">
        <f t="shared" si="91"/>
        <v>-0.49831610165758961</v>
      </c>
    </row>
    <row r="1475" spans="1:14" x14ac:dyDescent="0.35">
      <c r="A1475">
        <v>1473</v>
      </c>
      <c r="B1475" t="s">
        <v>7</v>
      </c>
      <c r="C1475" t="s">
        <v>58</v>
      </c>
      <c r="D1475">
        <v>0.2</v>
      </c>
      <c r="E1475">
        <v>0.8</v>
      </c>
      <c r="F1475">
        <v>303.14999999999998</v>
      </c>
      <c r="G1475">
        <v>323.89999999999998</v>
      </c>
      <c r="H1475">
        <f t="shared" ref="H1475:H1538" si="92">LN(I1475)</f>
        <v>-4.59</v>
      </c>
      <c r="I1475">
        <v>1.0152858373369763E-2</v>
      </c>
      <c r="J1475" t="str">
        <f t="shared" ref="J1475:J1538" si="93">_xlfn.CONCAT(B1475,C1475)</f>
        <v>C[N+](C)(C)CCO.[Cl-]C1=CC=C(C=C1)O</v>
      </c>
      <c r="K1475">
        <v>84</v>
      </c>
      <c r="M1475">
        <f t="shared" ref="M1475:M1538" si="94">(F1475-$L$3)/$L$2</f>
        <v>-0.72967870461249518</v>
      </c>
      <c r="N1475">
        <f t="shared" ref="N1475:N1538" si="95">(G1475-$L$6)/$L$5</f>
        <v>-0.44020633917272184</v>
      </c>
    </row>
    <row r="1476" spans="1:14" x14ac:dyDescent="0.35">
      <c r="A1476">
        <v>1474</v>
      </c>
      <c r="B1476" t="s">
        <v>7</v>
      </c>
      <c r="C1476" t="s">
        <v>58</v>
      </c>
      <c r="D1476">
        <v>0.2</v>
      </c>
      <c r="E1476">
        <v>0.8</v>
      </c>
      <c r="F1476">
        <v>303.14999999999998</v>
      </c>
      <c r="G1476">
        <v>420.9</v>
      </c>
      <c r="H1476">
        <f t="shared" si="92"/>
        <v>-4.3</v>
      </c>
      <c r="I1476">
        <v>1.3568559012200934E-2</v>
      </c>
      <c r="J1476" t="str">
        <f t="shared" si="93"/>
        <v>C[N+](C)(C)CCO.[Cl-]C1=CC=C(C=C1)O</v>
      </c>
      <c r="K1476">
        <v>84</v>
      </c>
      <c r="M1476">
        <f t="shared" si="94"/>
        <v>-0.72967870461249518</v>
      </c>
      <c r="N1476">
        <f t="shared" si="95"/>
        <v>-0.38595564657375964</v>
      </c>
    </row>
    <row r="1477" spans="1:14" x14ac:dyDescent="0.35">
      <c r="A1477">
        <v>1475</v>
      </c>
      <c r="B1477" t="s">
        <v>7</v>
      </c>
      <c r="C1477" t="s">
        <v>58</v>
      </c>
      <c r="D1477">
        <v>0.2</v>
      </c>
      <c r="E1477">
        <v>0.8</v>
      </c>
      <c r="F1477">
        <v>303.14999999999998</v>
      </c>
      <c r="G1477">
        <v>523.29999999999995</v>
      </c>
      <c r="H1477">
        <f t="shared" si="92"/>
        <v>-4.0599999999999996</v>
      </c>
      <c r="I1477">
        <v>1.7249019115346279E-2</v>
      </c>
      <c r="J1477" t="str">
        <f t="shared" si="93"/>
        <v>C[N+](C)(C)CCO.[Cl-]C1=CC=C(C=C1)O</v>
      </c>
      <c r="K1477">
        <v>84</v>
      </c>
      <c r="M1477">
        <f t="shared" si="94"/>
        <v>-0.72967870461249518</v>
      </c>
      <c r="N1477">
        <f t="shared" si="95"/>
        <v>-0.32868481232495833</v>
      </c>
    </row>
    <row r="1478" spans="1:14" x14ac:dyDescent="0.35">
      <c r="A1478">
        <v>1476</v>
      </c>
      <c r="B1478" t="s">
        <v>7</v>
      </c>
      <c r="C1478" t="s">
        <v>58</v>
      </c>
      <c r="D1478">
        <v>0.2</v>
      </c>
      <c r="E1478">
        <v>0.8</v>
      </c>
      <c r="F1478">
        <v>313.14999999999998</v>
      </c>
      <c r="G1478">
        <v>117.1</v>
      </c>
      <c r="H1478">
        <f t="shared" si="92"/>
        <v>-5.74</v>
      </c>
      <c r="I1478">
        <v>3.21476827530687E-3</v>
      </c>
      <c r="J1478" t="str">
        <f t="shared" si="93"/>
        <v>C[N+](C)(C)CCO.[Cl-]C1=CC=C(C=C1)O</v>
      </c>
      <c r="K1478">
        <v>84</v>
      </c>
      <c r="M1478">
        <f t="shared" si="94"/>
        <v>5.4037971934950142E-2</v>
      </c>
      <c r="N1478">
        <f t="shared" si="95"/>
        <v>-0.55586657865174638</v>
      </c>
    </row>
    <row r="1479" spans="1:14" x14ac:dyDescent="0.35">
      <c r="A1479">
        <v>1477</v>
      </c>
      <c r="B1479" t="s">
        <v>7</v>
      </c>
      <c r="C1479" t="s">
        <v>58</v>
      </c>
      <c r="D1479">
        <v>0.2</v>
      </c>
      <c r="E1479">
        <v>0.8</v>
      </c>
      <c r="F1479">
        <v>313.14999999999998</v>
      </c>
      <c r="G1479">
        <v>214.2</v>
      </c>
      <c r="H1479">
        <f t="shared" si="92"/>
        <v>-5.08</v>
      </c>
      <c r="I1479">
        <v>6.2199090159425728E-3</v>
      </c>
      <c r="J1479" t="str">
        <f t="shared" si="93"/>
        <v>C[N+](C)(C)CCO.[Cl-]C1=CC=C(C=C1)O</v>
      </c>
      <c r="K1479">
        <v>84</v>
      </c>
      <c r="M1479">
        <f t="shared" si="94"/>
        <v>5.4037971934950142E-2</v>
      </c>
      <c r="N1479">
        <f t="shared" si="95"/>
        <v>-0.50155995750371307</v>
      </c>
    </row>
    <row r="1480" spans="1:14" x14ac:dyDescent="0.35">
      <c r="A1480">
        <v>1478</v>
      </c>
      <c r="B1480" t="s">
        <v>7</v>
      </c>
      <c r="C1480" t="s">
        <v>58</v>
      </c>
      <c r="D1480">
        <v>0.2</v>
      </c>
      <c r="E1480">
        <v>0.8</v>
      </c>
      <c r="F1480">
        <v>313.14999999999998</v>
      </c>
      <c r="G1480">
        <v>320.39999999999998</v>
      </c>
      <c r="H1480">
        <f t="shared" si="92"/>
        <v>-4.6500000000000004</v>
      </c>
      <c r="I1480">
        <v>9.5616019305435045E-3</v>
      </c>
      <c r="J1480" t="str">
        <f t="shared" si="93"/>
        <v>C[N+](C)(C)CCO.[Cl-]C1=CC=C(C=C1)O</v>
      </c>
      <c r="K1480">
        <v>84</v>
      </c>
      <c r="M1480">
        <f t="shared" si="94"/>
        <v>5.4037971934950142E-2</v>
      </c>
      <c r="N1480">
        <f t="shared" si="95"/>
        <v>-0.44216383839021017</v>
      </c>
    </row>
    <row r="1481" spans="1:14" x14ac:dyDescent="0.35">
      <c r="A1481">
        <v>1479</v>
      </c>
      <c r="B1481" t="s">
        <v>7</v>
      </c>
      <c r="C1481" t="s">
        <v>58</v>
      </c>
      <c r="D1481">
        <v>0.2</v>
      </c>
      <c r="E1481">
        <v>0.8</v>
      </c>
      <c r="F1481">
        <v>313.14999999999998</v>
      </c>
      <c r="G1481">
        <v>415.8</v>
      </c>
      <c r="H1481">
        <f t="shared" si="92"/>
        <v>-4.38</v>
      </c>
      <c r="I1481">
        <v>1.2525358621074385E-2</v>
      </c>
      <c r="J1481" t="str">
        <f t="shared" si="93"/>
        <v>C[N+](C)(C)CCO.[Cl-]C1=CC=C(C=C1)O</v>
      </c>
      <c r="K1481">
        <v>84</v>
      </c>
      <c r="M1481">
        <f t="shared" si="94"/>
        <v>5.4037971934950142E-2</v>
      </c>
      <c r="N1481">
        <f t="shared" si="95"/>
        <v>-0.38880800257638554</v>
      </c>
    </row>
    <row r="1482" spans="1:14" x14ac:dyDescent="0.35">
      <c r="A1482">
        <v>1480</v>
      </c>
      <c r="B1482" t="s">
        <v>7</v>
      </c>
      <c r="C1482" t="s">
        <v>58</v>
      </c>
      <c r="D1482">
        <v>0.2</v>
      </c>
      <c r="E1482">
        <v>0.8</v>
      </c>
      <c r="F1482">
        <v>313.14999999999998</v>
      </c>
      <c r="G1482">
        <v>504.5</v>
      </c>
      <c r="H1482">
        <f t="shared" si="92"/>
        <v>-4.154094566627875</v>
      </c>
      <c r="I1482">
        <v>1.5699999999999999E-2</v>
      </c>
      <c r="J1482" t="str">
        <f t="shared" si="93"/>
        <v>C[N+](C)(C)CCO.[Cl-]C1=CC=C(C=C1)O</v>
      </c>
      <c r="K1482">
        <v>84</v>
      </c>
      <c r="M1482">
        <f t="shared" si="94"/>
        <v>5.4037971934950142E-2</v>
      </c>
      <c r="N1482">
        <f t="shared" si="95"/>
        <v>-0.3391993795503242</v>
      </c>
    </row>
    <row r="1483" spans="1:14" x14ac:dyDescent="0.35">
      <c r="A1483">
        <v>1481</v>
      </c>
      <c r="B1483" t="s">
        <v>7</v>
      </c>
      <c r="C1483" t="s">
        <v>58</v>
      </c>
      <c r="D1483">
        <v>0.2</v>
      </c>
      <c r="E1483">
        <v>0.8</v>
      </c>
      <c r="F1483">
        <v>313.14999999999998</v>
      </c>
      <c r="G1483">
        <v>2100</v>
      </c>
      <c r="H1483">
        <f t="shared" si="92"/>
        <v>-2.4429972467107905</v>
      </c>
      <c r="I1483">
        <v>8.6900000000000005E-2</v>
      </c>
      <c r="J1483" t="str">
        <f t="shared" si="93"/>
        <v>C[N+](C)(C)CCO.[Cl-]C1=CC=C(C=C1)O</v>
      </c>
      <c r="K1483">
        <v>84</v>
      </c>
      <c r="M1483">
        <f t="shared" si="94"/>
        <v>5.4037971934950142E-2</v>
      </c>
      <c r="N1483">
        <f t="shared" si="95"/>
        <v>0.5531406208789974</v>
      </c>
    </row>
    <row r="1484" spans="1:14" x14ac:dyDescent="0.35">
      <c r="A1484">
        <v>1482</v>
      </c>
      <c r="B1484" t="s">
        <v>7</v>
      </c>
      <c r="C1484" t="s">
        <v>58</v>
      </c>
      <c r="D1484">
        <v>0.2</v>
      </c>
      <c r="E1484">
        <v>0.8</v>
      </c>
      <c r="F1484">
        <v>313.14999999999998</v>
      </c>
      <c r="G1484">
        <v>3660</v>
      </c>
      <c r="H1484">
        <f t="shared" si="92"/>
        <v>-1.9870446924138683</v>
      </c>
      <c r="I1484">
        <v>0.1371</v>
      </c>
      <c r="J1484" t="str">
        <f t="shared" si="93"/>
        <v>C[N+](C)(C)CCO.[Cl-]C1=CC=C(C=C1)O</v>
      </c>
      <c r="K1484">
        <v>84</v>
      </c>
      <c r="M1484">
        <f t="shared" si="94"/>
        <v>5.4037971934950142E-2</v>
      </c>
      <c r="N1484">
        <f t="shared" si="95"/>
        <v>1.4256259863880802</v>
      </c>
    </row>
    <row r="1485" spans="1:14" x14ac:dyDescent="0.35">
      <c r="A1485">
        <v>1483</v>
      </c>
      <c r="B1485" t="s">
        <v>7</v>
      </c>
      <c r="C1485" t="s">
        <v>58</v>
      </c>
      <c r="D1485">
        <v>0.2</v>
      </c>
      <c r="E1485">
        <v>0.8</v>
      </c>
      <c r="F1485">
        <v>313.14999999999998</v>
      </c>
      <c r="G1485">
        <v>5830</v>
      </c>
      <c r="H1485">
        <f t="shared" si="92"/>
        <v>-1.636295366603983</v>
      </c>
      <c r="I1485">
        <v>0.19470000000000001</v>
      </c>
      <c r="J1485" t="str">
        <f t="shared" si="93"/>
        <v>C[N+](C)(C)CCO.[Cl-]C1=CC=C(C=C1)O</v>
      </c>
      <c r="K1485">
        <v>84</v>
      </c>
      <c r="M1485">
        <f t="shared" si="94"/>
        <v>5.4037971934950142E-2</v>
      </c>
      <c r="N1485">
        <f t="shared" si="95"/>
        <v>2.6392755012308426</v>
      </c>
    </row>
    <row r="1486" spans="1:14" x14ac:dyDescent="0.35">
      <c r="A1486">
        <v>1484</v>
      </c>
      <c r="B1486" t="s">
        <v>7</v>
      </c>
      <c r="C1486" t="s">
        <v>58</v>
      </c>
      <c r="D1486">
        <v>0.2</v>
      </c>
      <c r="E1486">
        <v>0.8</v>
      </c>
      <c r="F1486">
        <v>313.14999999999998</v>
      </c>
      <c r="G1486">
        <v>8000</v>
      </c>
      <c r="H1486">
        <f t="shared" si="92"/>
        <v>-1.460156209718346</v>
      </c>
      <c r="I1486">
        <v>0.23219999999999999</v>
      </c>
      <c r="J1486" t="str">
        <f t="shared" si="93"/>
        <v>C[N+](C)(C)CCO.[Cl-]C1=CC=C(C=C1)O</v>
      </c>
      <c r="K1486">
        <v>84</v>
      </c>
      <c r="M1486">
        <f t="shared" si="94"/>
        <v>5.4037971934950142E-2</v>
      </c>
      <c r="N1486">
        <f t="shared" si="95"/>
        <v>3.8529250160736055</v>
      </c>
    </row>
    <row r="1487" spans="1:14" x14ac:dyDescent="0.35">
      <c r="A1487">
        <v>1485</v>
      </c>
      <c r="B1487" t="s">
        <v>7</v>
      </c>
      <c r="C1487" t="s">
        <v>58</v>
      </c>
      <c r="D1487">
        <v>0.2</v>
      </c>
      <c r="E1487">
        <v>0.8</v>
      </c>
      <c r="F1487">
        <v>313.14999999999998</v>
      </c>
      <c r="G1487">
        <v>9130</v>
      </c>
      <c r="H1487">
        <f t="shared" si="92"/>
        <v>-1.3505411914140728</v>
      </c>
      <c r="I1487">
        <v>0.2591</v>
      </c>
      <c r="J1487" t="str">
        <f t="shared" si="93"/>
        <v>C[N+](C)(C)CCO.[Cl-]C1=CC=C(C=C1)O</v>
      </c>
      <c r="K1487">
        <v>84</v>
      </c>
      <c r="M1487">
        <f t="shared" si="94"/>
        <v>5.4037971934950142E-2</v>
      </c>
      <c r="N1487">
        <f t="shared" si="95"/>
        <v>4.4849176205769794</v>
      </c>
    </row>
    <row r="1488" spans="1:14" x14ac:dyDescent="0.35">
      <c r="A1488">
        <v>1486</v>
      </c>
      <c r="B1488" t="s">
        <v>7</v>
      </c>
      <c r="C1488" t="s">
        <v>58</v>
      </c>
      <c r="D1488">
        <v>0.2</v>
      </c>
      <c r="E1488">
        <v>0.8</v>
      </c>
      <c r="F1488">
        <v>313.14999999999998</v>
      </c>
      <c r="G1488">
        <v>10080</v>
      </c>
      <c r="H1488">
        <f t="shared" si="92"/>
        <v>-1.305636458102436</v>
      </c>
      <c r="I1488">
        <v>0.27100000000000002</v>
      </c>
      <c r="J1488" t="str">
        <f t="shared" si="93"/>
        <v>C[N+](C)(C)CCO.[Cl-]C1=CC=C(C=C1)O</v>
      </c>
      <c r="K1488">
        <v>84</v>
      </c>
      <c r="M1488">
        <f t="shared" si="94"/>
        <v>5.4037971934950142E-2</v>
      </c>
      <c r="N1488">
        <f t="shared" si="95"/>
        <v>5.0162388367523825</v>
      </c>
    </row>
    <row r="1489" spans="1:14" x14ac:dyDescent="0.35">
      <c r="A1489">
        <v>1487</v>
      </c>
      <c r="B1489" t="s">
        <v>7</v>
      </c>
      <c r="C1489" t="s">
        <v>58</v>
      </c>
      <c r="D1489">
        <v>0.2</v>
      </c>
      <c r="E1489">
        <v>0.8</v>
      </c>
      <c r="F1489">
        <v>313.14999999999998</v>
      </c>
      <c r="G1489">
        <v>12170</v>
      </c>
      <c r="H1489">
        <f t="shared" si="92"/>
        <v>-1.2286070852842967</v>
      </c>
      <c r="I1489">
        <v>0.29270000000000002</v>
      </c>
      <c r="J1489" t="str">
        <f t="shared" si="93"/>
        <v>C[N+](C)(C)CCO.[Cl-]C1=CC=C(C=C1)O</v>
      </c>
      <c r="K1489">
        <v>84</v>
      </c>
      <c r="M1489">
        <f t="shared" si="94"/>
        <v>5.4037971934950142E-2</v>
      </c>
      <c r="N1489">
        <f t="shared" si="95"/>
        <v>6.185145512338269</v>
      </c>
    </row>
    <row r="1490" spans="1:14" x14ac:dyDescent="0.35">
      <c r="A1490">
        <v>1488</v>
      </c>
      <c r="B1490" t="s">
        <v>7</v>
      </c>
      <c r="C1490" t="s">
        <v>58</v>
      </c>
      <c r="D1490">
        <v>0.2</v>
      </c>
      <c r="E1490">
        <v>0.8</v>
      </c>
      <c r="F1490">
        <v>323.14999999999998</v>
      </c>
      <c r="G1490">
        <v>118.2</v>
      </c>
      <c r="H1490">
        <f t="shared" si="92"/>
        <v>-5.91</v>
      </c>
      <c r="I1490">
        <v>2.7121868873866434E-3</v>
      </c>
      <c r="J1490" t="str">
        <f t="shared" si="93"/>
        <v>C[N+](C)(C)CCO.[Cl-]C1=CC=C(C=C1)O</v>
      </c>
      <c r="K1490">
        <v>84</v>
      </c>
      <c r="M1490">
        <f t="shared" si="94"/>
        <v>0.83775464848239545</v>
      </c>
      <c r="N1490">
        <f t="shared" si="95"/>
        <v>-0.55525136461196434</v>
      </c>
    </row>
    <row r="1491" spans="1:14" x14ac:dyDescent="0.35">
      <c r="A1491">
        <v>1489</v>
      </c>
      <c r="B1491" t="s">
        <v>7</v>
      </c>
      <c r="C1491" t="s">
        <v>58</v>
      </c>
      <c r="D1491">
        <v>0.2</v>
      </c>
      <c r="E1491">
        <v>0.8</v>
      </c>
      <c r="F1491">
        <v>323.14999999999998</v>
      </c>
      <c r="G1491">
        <v>221.4</v>
      </c>
      <c r="H1491">
        <f t="shared" si="92"/>
        <v>-5.28</v>
      </c>
      <c r="I1491">
        <v>5.0924307926991904E-3</v>
      </c>
      <c r="J1491" t="str">
        <f t="shared" si="93"/>
        <v>C[N+](C)(C)CCO.[Cl-]C1=CC=C(C=C1)O</v>
      </c>
      <c r="K1491">
        <v>84</v>
      </c>
      <c r="M1491">
        <f t="shared" si="94"/>
        <v>0.83775464848239545</v>
      </c>
      <c r="N1491">
        <f t="shared" si="95"/>
        <v>-0.4975331019705943</v>
      </c>
    </row>
    <row r="1492" spans="1:14" x14ac:dyDescent="0.35">
      <c r="A1492">
        <v>1490</v>
      </c>
      <c r="B1492" t="s">
        <v>7</v>
      </c>
      <c r="C1492" t="s">
        <v>58</v>
      </c>
      <c r="D1492">
        <v>0.2</v>
      </c>
      <c r="E1492">
        <v>0.8</v>
      </c>
      <c r="F1492">
        <v>323.14999999999998</v>
      </c>
      <c r="G1492">
        <v>325.10000000000002</v>
      </c>
      <c r="H1492">
        <f t="shared" si="92"/>
        <v>-4.84</v>
      </c>
      <c r="I1492">
        <v>7.9070540515934415E-3</v>
      </c>
      <c r="J1492" t="str">
        <f t="shared" si="93"/>
        <v>C[N+](C)(C)CCO.[Cl-]C1=CC=C(C=C1)O</v>
      </c>
      <c r="K1492">
        <v>84</v>
      </c>
      <c r="M1492">
        <f t="shared" si="94"/>
        <v>0.83775464848239545</v>
      </c>
      <c r="N1492">
        <f t="shared" si="95"/>
        <v>-0.43953519658386869</v>
      </c>
    </row>
    <row r="1493" spans="1:14" x14ac:dyDescent="0.35">
      <c r="A1493">
        <v>1491</v>
      </c>
      <c r="B1493" t="s">
        <v>7</v>
      </c>
      <c r="C1493" t="s">
        <v>58</v>
      </c>
      <c r="D1493">
        <v>0.2</v>
      </c>
      <c r="E1493">
        <v>0.8</v>
      </c>
      <c r="F1493">
        <v>323.14999999999998</v>
      </c>
      <c r="G1493">
        <v>418.4</v>
      </c>
      <c r="H1493">
        <f t="shared" si="92"/>
        <v>-4.5199999999999996</v>
      </c>
      <c r="I1493">
        <v>1.0889023668554451E-2</v>
      </c>
      <c r="J1493" t="str">
        <f t="shared" si="93"/>
        <v>C[N+](C)(C)CCO.[Cl-]C1=CC=C(C=C1)O</v>
      </c>
      <c r="K1493">
        <v>84</v>
      </c>
      <c r="M1493">
        <f t="shared" si="94"/>
        <v>0.83775464848239545</v>
      </c>
      <c r="N1493">
        <f t="shared" si="95"/>
        <v>-0.38735386030053703</v>
      </c>
    </row>
    <row r="1494" spans="1:14" x14ac:dyDescent="0.35">
      <c r="A1494">
        <v>1492</v>
      </c>
      <c r="B1494" t="s">
        <v>7</v>
      </c>
      <c r="C1494" t="s">
        <v>58</v>
      </c>
      <c r="D1494">
        <v>0.2</v>
      </c>
      <c r="E1494">
        <v>0.8</v>
      </c>
      <c r="F1494">
        <v>323.14999999999998</v>
      </c>
      <c r="G1494">
        <v>529.1</v>
      </c>
      <c r="H1494">
        <f t="shared" si="92"/>
        <v>-4.33</v>
      </c>
      <c r="I1494">
        <v>1.3167547490079751E-2</v>
      </c>
      <c r="J1494" t="str">
        <f t="shared" si="93"/>
        <v>C[N+](C)(C)CCO.[Cl-]C1=CC=C(C=C1)O</v>
      </c>
      <c r="K1494">
        <v>84</v>
      </c>
      <c r="M1494">
        <f t="shared" si="94"/>
        <v>0.83775464848239545</v>
      </c>
      <c r="N1494">
        <f t="shared" si="95"/>
        <v>-0.32544095647883475</v>
      </c>
    </row>
    <row r="1495" spans="1:14" x14ac:dyDescent="0.35">
      <c r="A1495">
        <v>1493</v>
      </c>
      <c r="B1495" t="s">
        <v>7</v>
      </c>
      <c r="C1495" t="s">
        <v>60</v>
      </c>
      <c r="D1495">
        <v>0.2</v>
      </c>
      <c r="E1495">
        <v>0.8</v>
      </c>
      <c r="F1495">
        <v>293.14999999999998</v>
      </c>
      <c r="G1495">
        <v>119</v>
      </c>
      <c r="H1495">
        <f t="shared" si="92"/>
        <v>-5.12</v>
      </c>
      <c r="I1495">
        <v>5.9760228950059427E-3</v>
      </c>
      <c r="J1495" t="str">
        <f t="shared" si="93"/>
        <v>C[N+](C)(C)CCO.[Cl-]C(COCCOCCO)O</v>
      </c>
      <c r="K1495">
        <v>83</v>
      </c>
      <c r="M1495">
        <f t="shared" si="94"/>
        <v>-1.5133953811599403</v>
      </c>
      <c r="N1495">
        <f t="shared" si="95"/>
        <v>-0.55480393621939561</v>
      </c>
    </row>
    <row r="1496" spans="1:14" x14ac:dyDescent="0.35">
      <c r="A1496">
        <v>1494</v>
      </c>
      <c r="B1496" t="s">
        <v>7</v>
      </c>
      <c r="C1496" t="s">
        <v>60</v>
      </c>
      <c r="D1496">
        <v>0.2</v>
      </c>
      <c r="E1496">
        <v>0.8</v>
      </c>
      <c r="F1496">
        <v>293.14999999999998</v>
      </c>
      <c r="G1496">
        <v>215</v>
      </c>
      <c r="H1496">
        <f t="shared" si="92"/>
        <v>-4.51</v>
      </c>
      <c r="I1496">
        <v>1.0998460175806881E-2</v>
      </c>
      <c r="J1496" t="str">
        <f t="shared" si="93"/>
        <v>C[N+](C)(C)CCO.[Cl-]C(COCCOCCO)O</v>
      </c>
      <c r="K1496">
        <v>83</v>
      </c>
      <c r="M1496">
        <f t="shared" si="94"/>
        <v>-1.5133953811599403</v>
      </c>
      <c r="N1496">
        <f t="shared" si="95"/>
        <v>-0.50111252911114434</v>
      </c>
    </row>
    <row r="1497" spans="1:14" x14ac:dyDescent="0.35">
      <c r="A1497">
        <v>1495</v>
      </c>
      <c r="B1497" t="s">
        <v>7</v>
      </c>
      <c r="C1497" t="s">
        <v>60</v>
      </c>
      <c r="D1497">
        <v>0.2</v>
      </c>
      <c r="E1497">
        <v>0.8</v>
      </c>
      <c r="F1497">
        <v>293.14999999999998</v>
      </c>
      <c r="G1497">
        <v>322.10000000000002</v>
      </c>
      <c r="H1497">
        <f t="shared" si="92"/>
        <v>-4.0745419349259206</v>
      </c>
      <c r="I1497">
        <v>1.7000000000000001E-2</v>
      </c>
      <c r="J1497" t="str">
        <f t="shared" si="93"/>
        <v>C[N+](C)(C)CCO.[Cl-]C(COCCOCCO)O</v>
      </c>
      <c r="K1497">
        <v>83</v>
      </c>
      <c r="M1497">
        <f t="shared" si="94"/>
        <v>-1.5133953811599403</v>
      </c>
      <c r="N1497">
        <f t="shared" si="95"/>
        <v>-0.44121305305600156</v>
      </c>
    </row>
    <row r="1498" spans="1:14" x14ac:dyDescent="0.35">
      <c r="A1498">
        <v>1496</v>
      </c>
      <c r="B1498" t="s">
        <v>7</v>
      </c>
      <c r="C1498" t="s">
        <v>60</v>
      </c>
      <c r="D1498">
        <v>0.2</v>
      </c>
      <c r="E1498">
        <v>0.8</v>
      </c>
      <c r="F1498">
        <v>293.14999999999998</v>
      </c>
      <c r="G1498">
        <v>404.3</v>
      </c>
      <c r="H1498">
        <f t="shared" si="92"/>
        <v>-3.82</v>
      </c>
      <c r="I1498">
        <v>2.192780089426162E-2</v>
      </c>
      <c r="J1498" t="str">
        <f t="shared" si="93"/>
        <v>C[N+](C)(C)CCO.[Cl-]C(COCCOCCO)O</v>
      </c>
      <c r="K1498">
        <v>83</v>
      </c>
      <c r="M1498">
        <f t="shared" si="94"/>
        <v>-1.5133953811599403</v>
      </c>
      <c r="N1498">
        <f t="shared" si="95"/>
        <v>-0.39523978571956142</v>
      </c>
    </row>
    <row r="1499" spans="1:14" x14ac:dyDescent="0.35">
      <c r="A1499">
        <v>1497</v>
      </c>
      <c r="B1499" t="s">
        <v>7</v>
      </c>
      <c r="C1499" t="s">
        <v>60</v>
      </c>
      <c r="D1499">
        <v>0.2</v>
      </c>
      <c r="E1499">
        <v>0.8</v>
      </c>
      <c r="F1499">
        <v>293.14999999999998</v>
      </c>
      <c r="G1499">
        <v>513.5</v>
      </c>
      <c r="H1499">
        <f t="shared" si="92"/>
        <v>-3.575550768806933</v>
      </c>
      <c r="I1499">
        <v>2.8000000000000001E-2</v>
      </c>
      <c r="J1499" t="str">
        <f t="shared" si="93"/>
        <v>C[N+](C)(C)CCO.[Cl-]C(COCCOCCO)O</v>
      </c>
      <c r="K1499">
        <v>83</v>
      </c>
      <c r="M1499">
        <f t="shared" si="94"/>
        <v>-1.5133953811599403</v>
      </c>
      <c r="N1499">
        <f t="shared" si="95"/>
        <v>-0.3341658101339256</v>
      </c>
    </row>
    <row r="1500" spans="1:14" x14ac:dyDescent="0.35">
      <c r="A1500">
        <v>1498</v>
      </c>
      <c r="B1500" t="s">
        <v>7</v>
      </c>
      <c r="C1500" t="s">
        <v>60</v>
      </c>
      <c r="D1500">
        <v>0.2</v>
      </c>
      <c r="E1500">
        <v>0.8</v>
      </c>
      <c r="F1500">
        <v>303.14999999999998</v>
      </c>
      <c r="G1500">
        <v>109.3</v>
      </c>
      <c r="H1500">
        <f t="shared" si="92"/>
        <v>-5.32</v>
      </c>
      <c r="I1500">
        <v>4.8927537252394758E-3</v>
      </c>
      <c r="J1500" t="str">
        <f t="shared" si="93"/>
        <v>C[N+](C)(C)CCO.[Cl-]C(COCCOCCO)O</v>
      </c>
      <c r="K1500">
        <v>83</v>
      </c>
      <c r="M1500">
        <f t="shared" si="94"/>
        <v>-0.72967870461249518</v>
      </c>
      <c r="N1500">
        <f t="shared" si="95"/>
        <v>-0.56022900547929189</v>
      </c>
    </row>
    <row r="1501" spans="1:14" x14ac:dyDescent="0.35">
      <c r="A1501">
        <v>1499</v>
      </c>
      <c r="B1501" t="s">
        <v>7</v>
      </c>
      <c r="C1501" t="s">
        <v>60</v>
      </c>
      <c r="D1501">
        <v>0.2</v>
      </c>
      <c r="E1501">
        <v>0.8</v>
      </c>
      <c r="F1501">
        <v>303.14999999999998</v>
      </c>
      <c r="G1501">
        <v>211.5</v>
      </c>
      <c r="H1501">
        <f t="shared" si="92"/>
        <v>-4.6100000000000003</v>
      </c>
      <c r="I1501">
        <v>9.9518183078484198E-3</v>
      </c>
      <c r="J1501" t="str">
        <f t="shared" si="93"/>
        <v>C[N+](C)(C)CCO.[Cl-]C(COCCOCCO)O</v>
      </c>
      <c r="K1501">
        <v>83</v>
      </c>
      <c r="M1501">
        <f t="shared" si="94"/>
        <v>-0.72967870461249518</v>
      </c>
      <c r="N1501">
        <f t="shared" si="95"/>
        <v>-0.50307002832863268</v>
      </c>
    </row>
    <row r="1502" spans="1:14" x14ac:dyDescent="0.35">
      <c r="A1502">
        <v>1500</v>
      </c>
      <c r="B1502" t="s">
        <v>7</v>
      </c>
      <c r="C1502" t="s">
        <v>60</v>
      </c>
      <c r="D1502">
        <v>0.2</v>
      </c>
      <c r="E1502">
        <v>0.8</v>
      </c>
      <c r="F1502">
        <v>303.14999999999998</v>
      </c>
      <c r="G1502">
        <v>310.39999999999998</v>
      </c>
      <c r="H1502">
        <f t="shared" si="92"/>
        <v>-4.21</v>
      </c>
      <c r="I1502">
        <v>1.4846368338086832E-2</v>
      </c>
      <c r="J1502" t="str">
        <f t="shared" si="93"/>
        <v>C[N+](C)(C)CCO.[Cl-]C(COCCOCCO)O</v>
      </c>
      <c r="K1502">
        <v>83</v>
      </c>
      <c r="M1502">
        <f t="shared" si="94"/>
        <v>-0.72967870461249518</v>
      </c>
      <c r="N1502">
        <f t="shared" si="95"/>
        <v>-0.44775669329731971</v>
      </c>
    </row>
    <row r="1503" spans="1:14" x14ac:dyDescent="0.35">
      <c r="A1503">
        <v>1501</v>
      </c>
      <c r="B1503" t="s">
        <v>7</v>
      </c>
      <c r="C1503" t="s">
        <v>60</v>
      </c>
      <c r="D1503">
        <v>0.2</v>
      </c>
      <c r="E1503">
        <v>0.8</v>
      </c>
      <c r="F1503">
        <v>303.14999999999998</v>
      </c>
      <c r="G1503">
        <v>410.5</v>
      </c>
      <c r="H1503">
        <f t="shared" si="92"/>
        <v>-3.91</v>
      </c>
      <c r="I1503">
        <v>2.0040501061684014E-2</v>
      </c>
      <c r="J1503" t="str">
        <f t="shared" si="93"/>
        <v>C[N+](C)(C)CCO.[Cl-]C(COCCOCCO)O</v>
      </c>
      <c r="K1503">
        <v>83</v>
      </c>
      <c r="M1503">
        <f t="shared" si="94"/>
        <v>-0.72967870461249518</v>
      </c>
      <c r="N1503">
        <f t="shared" si="95"/>
        <v>-0.39177221567715353</v>
      </c>
    </row>
    <row r="1504" spans="1:14" x14ac:dyDescent="0.35">
      <c r="A1504">
        <v>1502</v>
      </c>
      <c r="B1504" t="s">
        <v>7</v>
      </c>
      <c r="C1504" t="s">
        <v>60</v>
      </c>
      <c r="D1504">
        <v>0.2</v>
      </c>
      <c r="E1504">
        <v>0.8</v>
      </c>
      <c r="F1504">
        <v>303.14999999999998</v>
      </c>
      <c r="G1504">
        <v>513</v>
      </c>
      <c r="H1504">
        <f t="shared" si="92"/>
        <v>-3.7</v>
      </c>
      <c r="I1504">
        <v>2.4723526470339388E-2</v>
      </c>
      <c r="J1504" t="str">
        <f t="shared" si="93"/>
        <v>C[N+](C)(C)CCO.[Cl-]C(COCCOCCO)O</v>
      </c>
      <c r="K1504">
        <v>83</v>
      </c>
      <c r="M1504">
        <f t="shared" si="94"/>
        <v>-0.72967870461249518</v>
      </c>
      <c r="N1504">
        <f t="shared" si="95"/>
        <v>-0.33444545287928107</v>
      </c>
    </row>
    <row r="1505" spans="1:14" x14ac:dyDescent="0.35">
      <c r="A1505">
        <v>1503</v>
      </c>
      <c r="B1505" t="s">
        <v>7</v>
      </c>
      <c r="C1505" t="s">
        <v>60</v>
      </c>
      <c r="D1505">
        <v>0.2</v>
      </c>
      <c r="E1505">
        <v>0.8</v>
      </c>
      <c r="F1505">
        <v>313.14999999999998</v>
      </c>
      <c r="G1505">
        <v>119.6</v>
      </c>
      <c r="H1505">
        <f t="shared" si="92"/>
        <v>-5.47</v>
      </c>
      <c r="I1505">
        <v>4.2112321579970352E-3</v>
      </c>
      <c r="J1505" t="str">
        <f t="shared" si="93"/>
        <v>C[N+](C)(C)CCO.[Cl-]C(COCCOCCO)O</v>
      </c>
      <c r="K1505">
        <v>83</v>
      </c>
      <c r="M1505">
        <f t="shared" si="94"/>
        <v>5.4037971934950142E-2</v>
      </c>
      <c r="N1505">
        <f t="shared" si="95"/>
        <v>-0.55446836492496898</v>
      </c>
    </row>
    <row r="1506" spans="1:14" x14ac:dyDescent="0.35">
      <c r="A1506">
        <v>1504</v>
      </c>
      <c r="B1506" t="s">
        <v>7</v>
      </c>
      <c r="C1506" t="s">
        <v>60</v>
      </c>
      <c r="D1506">
        <v>0.2</v>
      </c>
      <c r="E1506">
        <v>0.8</v>
      </c>
      <c r="F1506">
        <v>313.14999999999998</v>
      </c>
      <c r="G1506">
        <v>219.3</v>
      </c>
      <c r="H1506">
        <f t="shared" si="92"/>
        <v>-4.82</v>
      </c>
      <c r="I1506">
        <v>8.0667871390996144E-3</v>
      </c>
      <c r="J1506" t="str">
        <f t="shared" si="93"/>
        <v>C[N+](C)(C)CCO.[Cl-]C(COCCOCCO)O</v>
      </c>
      <c r="K1506">
        <v>83</v>
      </c>
      <c r="M1506">
        <f t="shared" si="94"/>
        <v>5.4037971934950142E-2</v>
      </c>
      <c r="N1506">
        <f t="shared" si="95"/>
        <v>-0.49870760150108728</v>
      </c>
    </row>
    <row r="1507" spans="1:14" x14ac:dyDescent="0.35">
      <c r="A1507">
        <v>1505</v>
      </c>
      <c r="B1507" t="s">
        <v>7</v>
      </c>
      <c r="C1507" t="s">
        <v>60</v>
      </c>
      <c r="D1507">
        <v>0.2</v>
      </c>
      <c r="E1507">
        <v>0.8</v>
      </c>
      <c r="F1507">
        <v>313.14999999999998</v>
      </c>
      <c r="G1507">
        <v>315.2</v>
      </c>
      <c r="H1507">
        <f t="shared" si="92"/>
        <v>-4.3899999999999997</v>
      </c>
      <c r="I1507">
        <v>1.2400729220443406E-2</v>
      </c>
      <c r="J1507" t="str">
        <f t="shared" si="93"/>
        <v>C[N+](C)(C)CCO.[Cl-]C(COCCOCCO)O</v>
      </c>
      <c r="K1507">
        <v>83</v>
      </c>
      <c r="M1507">
        <f t="shared" si="94"/>
        <v>5.4037971934950142E-2</v>
      </c>
      <c r="N1507">
        <f t="shared" si="95"/>
        <v>-0.44507212294190707</v>
      </c>
    </row>
    <row r="1508" spans="1:14" x14ac:dyDescent="0.35">
      <c r="A1508">
        <v>1506</v>
      </c>
      <c r="B1508" t="s">
        <v>7</v>
      </c>
      <c r="C1508" t="s">
        <v>60</v>
      </c>
      <c r="D1508">
        <v>0.2</v>
      </c>
      <c r="E1508">
        <v>0.8</v>
      </c>
      <c r="F1508">
        <v>313.14999999999998</v>
      </c>
      <c r="G1508">
        <v>415</v>
      </c>
      <c r="H1508">
        <f t="shared" si="92"/>
        <v>-4.086376392572924</v>
      </c>
      <c r="I1508">
        <v>1.6799999999999999E-2</v>
      </c>
      <c r="J1508" t="str">
        <f t="shared" si="93"/>
        <v>C[N+](C)(C)CCO.[Cl-]C(COCCOCCO)O</v>
      </c>
      <c r="K1508">
        <v>83</v>
      </c>
      <c r="M1508">
        <f t="shared" si="94"/>
        <v>5.4037971934950142E-2</v>
      </c>
      <c r="N1508">
        <f t="shared" si="95"/>
        <v>-0.38925543096895426</v>
      </c>
    </row>
    <row r="1509" spans="1:14" x14ac:dyDescent="0.35">
      <c r="A1509">
        <v>1507</v>
      </c>
      <c r="B1509" t="s">
        <v>7</v>
      </c>
      <c r="C1509" t="s">
        <v>60</v>
      </c>
      <c r="D1509">
        <v>0.2</v>
      </c>
      <c r="E1509">
        <v>0.8</v>
      </c>
      <c r="F1509">
        <v>313.14999999999998</v>
      </c>
      <c r="G1509">
        <v>519</v>
      </c>
      <c r="H1509">
        <f t="shared" si="92"/>
        <v>-3.9</v>
      </c>
      <c r="I1509">
        <v>2.0241911445804391E-2</v>
      </c>
      <c r="J1509" t="str">
        <f t="shared" si="93"/>
        <v>C[N+](C)(C)CCO.[Cl-]C(COCCOCCO)O</v>
      </c>
      <c r="K1509">
        <v>83</v>
      </c>
      <c r="M1509">
        <f t="shared" si="94"/>
        <v>5.4037971934950142E-2</v>
      </c>
      <c r="N1509">
        <f t="shared" si="95"/>
        <v>-0.33108973993501539</v>
      </c>
    </row>
    <row r="1510" spans="1:14" x14ac:dyDescent="0.35">
      <c r="A1510">
        <v>1508</v>
      </c>
      <c r="B1510" t="s">
        <v>7</v>
      </c>
      <c r="C1510" t="s">
        <v>60</v>
      </c>
      <c r="D1510">
        <v>0.2</v>
      </c>
      <c r="E1510">
        <v>0.8</v>
      </c>
      <c r="F1510">
        <v>323.14999999999998</v>
      </c>
      <c r="G1510">
        <v>118.8</v>
      </c>
      <c r="H1510">
        <f t="shared" si="92"/>
        <v>-5.71</v>
      </c>
      <c r="I1510">
        <v>3.3126725448998926E-3</v>
      </c>
      <c r="J1510" t="str">
        <f t="shared" si="93"/>
        <v>C[N+](C)(C)CCO.[Cl-]C(COCCOCCO)O</v>
      </c>
      <c r="K1510">
        <v>83</v>
      </c>
      <c r="M1510">
        <f t="shared" si="94"/>
        <v>0.83775464848239545</v>
      </c>
      <c r="N1510">
        <f t="shared" si="95"/>
        <v>-0.55491579331753782</v>
      </c>
    </row>
    <row r="1511" spans="1:14" x14ac:dyDescent="0.35">
      <c r="A1511">
        <v>1509</v>
      </c>
      <c r="B1511" t="s">
        <v>7</v>
      </c>
      <c r="C1511" t="s">
        <v>60</v>
      </c>
      <c r="D1511">
        <v>0.2</v>
      </c>
      <c r="E1511">
        <v>0.8</v>
      </c>
      <c r="F1511">
        <v>323.14999999999998</v>
      </c>
      <c r="G1511">
        <v>221.4</v>
      </c>
      <c r="H1511">
        <f t="shared" si="92"/>
        <v>-5.0199999999999996</v>
      </c>
      <c r="I1511">
        <v>6.6045267093148112E-3</v>
      </c>
      <c r="J1511" t="str">
        <f t="shared" si="93"/>
        <v>C[N+](C)(C)CCO.[Cl-]C(COCCOCCO)O</v>
      </c>
      <c r="K1511">
        <v>83</v>
      </c>
      <c r="M1511">
        <f t="shared" si="94"/>
        <v>0.83775464848239545</v>
      </c>
      <c r="N1511">
        <f t="shared" si="95"/>
        <v>-0.4975331019705943</v>
      </c>
    </row>
    <row r="1512" spans="1:14" x14ac:dyDescent="0.35">
      <c r="A1512">
        <v>1510</v>
      </c>
      <c r="B1512" t="s">
        <v>7</v>
      </c>
      <c r="C1512" t="s">
        <v>60</v>
      </c>
      <c r="D1512">
        <v>0.2</v>
      </c>
      <c r="E1512">
        <v>0.8</v>
      </c>
      <c r="F1512">
        <v>323.14999999999998</v>
      </c>
      <c r="G1512">
        <v>318.60000000000002</v>
      </c>
      <c r="H1512">
        <f t="shared" si="92"/>
        <v>-4.6500000000000004</v>
      </c>
      <c r="I1512">
        <v>9.5616019305435045E-3</v>
      </c>
      <c r="J1512" t="str">
        <f t="shared" si="93"/>
        <v>C[N+](C)(C)CCO.[Cl-]C(COCCOCCO)O</v>
      </c>
      <c r="K1512">
        <v>83</v>
      </c>
      <c r="M1512">
        <f t="shared" si="94"/>
        <v>0.83775464848239545</v>
      </c>
      <c r="N1512">
        <f t="shared" si="95"/>
        <v>-0.44317055227348989</v>
      </c>
    </row>
    <row r="1513" spans="1:14" x14ac:dyDescent="0.35">
      <c r="A1513">
        <v>1511</v>
      </c>
      <c r="B1513" t="s">
        <v>7</v>
      </c>
      <c r="C1513" t="s">
        <v>60</v>
      </c>
      <c r="D1513">
        <v>0.2</v>
      </c>
      <c r="E1513">
        <v>0.8</v>
      </c>
      <c r="F1513">
        <v>323.14999999999998</v>
      </c>
      <c r="G1513">
        <v>420.2</v>
      </c>
      <c r="H1513">
        <f t="shared" si="92"/>
        <v>-4.3099999999999996</v>
      </c>
      <c r="I1513">
        <v>1.3433549594245314E-2</v>
      </c>
      <c r="J1513" t="str">
        <f t="shared" si="93"/>
        <v>C[N+](C)(C)CCO.[Cl-]C(COCCOCCO)O</v>
      </c>
      <c r="K1513">
        <v>83</v>
      </c>
      <c r="M1513">
        <f t="shared" si="94"/>
        <v>0.83775464848239545</v>
      </c>
      <c r="N1513">
        <f t="shared" si="95"/>
        <v>-0.38634714641725726</v>
      </c>
    </row>
    <row r="1514" spans="1:14" x14ac:dyDescent="0.35">
      <c r="A1514">
        <v>1512</v>
      </c>
      <c r="B1514" t="s">
        <v>7</v>
      </c>
      <c r="C1514" t="s">
        <v>60</v>
      </c>
      <c r="D1514">
        <v>0.2</v>
      </c>
      <c r="E1514">
        <v>0.8</v>
      </c>
      <c r="F1514">
        <v>323.14999999999998</v>
      </c>
      <c r="G1514">
        <v>520.29999999999995</v>
      </c>
      <c r="H1514">
        <f t="shared" si="92"/>
        <v>-4.09</v>
      </c>
      <c r="I1514">
        <v>1.6739233558580632E-2</v>
      </c>
      <c r="J1514" t="str">
        <f t="shared" si="93"/>
        <v>C[N+](C)(C)CCO.[Cl-]C(COCCOCCO)O</v>
      </c>
      <c r="K1514">
        <v>83</v>
      </c>
      <c r="M1514">
        <f t="shared" si="94"/>
        <v>0.83775464848239545</v>
      </c>
      <c r="N1514">
        <f t="shared" si="95"/>
        <v>-0.3303626687970912</v>
      </c>
    </row>
    <row r="1515" spans="1:14" x14ac:dyDescent="0.35">
      <c r="A1515">
        <v>1513</v>
      </c>
      <c r="B1515" t="s">
        <v>10</v>
      </c>
      <c r="C1515" t="s">
        <v>35</v>
      </c>
      <c r="D1515">
        <v>0.2</v>
      </c>
      <c r="E1515">
        <v>0.8</v>
      </c>
      <c r="F1515">
        <v>298.14999999999998</v>
      </c>
      <c r="G1515">
        <v>220</v>
      </c>
      <c r="H1515">
        <f t="shared" si="92"/>
        <v>-5.84</v>
      </c>
      <c r="I1515">
        <v>2.9088426258125841E-3</v>
      </c>
      <c r="J1515" t="str">
        <f t="shared" si="93"/>
        <v>C[P+](C1=CC=CC=C1)(C2=CC=CC=C2)C3=CC=CC=C3.[Br-]CC(CO)O</v>
      </c>
      <c r="K1515">
        <v>98</v>
      </c>
      <c r="M1515">
        <f t="shared" si="94"/>
        <v>-1.1215370428862177</v>
      </c>
      <c r="N1515">
        <f t="shared" si="95"/>
        <v>-0.49831610165758961</v>
      </c>
    </row>
    <row r="1516" spans="1:14" x14ac:dyDescent="0.35">
      <c r="A1516">
        <v>1514</v>
      </c>
      <c r="B1516" t="s">
        <v>10</v>
      </c>
      <c r="C1516" t="s">
        <v>35</v>
      </c>
      <c r="D1516">
        <v>0.2</v>
      </c>
      <c r="E1516">
        <v>0.8</v>
      </c>
      <c r="F1516">
        <v>298.14999999999998</v>
      </c>
      <c r="G1516">
        <v>528</v>
      </c>
      <c r="H1516">
        <f t="shared" si="92"/>
        <v>-4.3899999999999997</v>
      </c>
      <c r="I1516">
        <v>1.2400729220443406E-2</v>
      </c>
      <c r="J1516" t="str">
        <f t="shared" si="93"/>
        <v>C[P+](C1=CC=CC=C1)(C2=CC=CC=C2)C3=CC=CC=C3.[Br-]CC(CO)O</v>
      </c>
      <c r="K1516">
        <v>98</v>
      </c>
      <c r="M1516">
        <f t="shared" si="94"/>
        <v>-1.1215370428862177</v>
      </c>
      <c r="N1516">
        <f t="shared" si="95"/>
        <v>-0.32605617051861685</v>
      </c>
    </row>
    <row r="1517" spans="1:14" x14ac:dyDescent="0.35">
      <c r="A1517">
        <v>1515</v>
      </c>
      <c r="B1517" t="s">
        <v>10</v>
      </c>
      <c r="C1517" t="s">
        <v>35</v>
      </c>
      <c r="D1517">
        <v>0.2</v>
      </c>
      <c r="E1517">
        <v>0.8</v>
      </c>
      <c r="F1517">
        <v>298.14999999999998</v>
      </c>
      <c r="G1517">
        <v>861</v>
      </c>
      <c r="H1517">
        <f t="shared" si="92"/>
        <v>-3.53</v>
      </c>
      <c r="I1517">
        <v>2.9304915867040759E-2</v>
      </c>
      <c r="J1517" t="str">
        <f t="shared" si="93"/>
        <v>C[P+](C1=CC=CC=C1)(C2=CC=CC=C2)C3=CC=CC=C3.[Br-]CC(CO)O</v>
      </c>
      <c r="K1517">
        <v>98</v>
      </c>
      <c r="M1517">
        <f t="shared" si="94"/>
        <v>-1.1215370428862177</v>
      </c>
      <c r="N1517">
        <f t="shared" si="95"/>
        <v>-0.13981410211187031</v>
      </c>
    </row>
    <row r="1518" spans="1:14" x14ac:dyDescent="0.35">
      <c r="A1518">
        <v>1516</v>
      </c>
      <c r="B1518" t="s">
        <v>10</v>
      </c>
      <c r="C1518" t="s">
        <v>35</v>
      </c>
      <c r="D1518">
        <v>0.2</v>
      </c>
      <c r="E1518">
        <v>0.8</v>
      </c>
      <c r="F1518">
        <v>298.14999999999998</v>
      </c>
      <c r="G1518">
        <v>1120</v>
      </c>
      <c r="H1518">
        <f t="shared" si="92"/>
        <v>-3.28</v>
      </c>
      <c r="I1518">
        <v>3.7628256807176221E-2</v>
      </c>
      <c r="J1518" t="str">
        <f t="shared" si="93"/>
        <v>C[P+](C1=CC=CC=C1)(C2=CC=CC=C2)C3=CC=CC=C3.[Br-]CC(CO)O</v>
      </c>
      <c r="K1518">
        <v>98</v>
      </c>
      <c r="M1518">
        <f t="shared" si="94"/>
        <v>-1.1215370428862177</v>
      </c>
      <c r="N1518">
        <f t="shared" si="95"/>
        <v>5.040839982265872E-3</v>
      </c>
    </row>
    <row r="1519" spans="1:14" x14ac:dyDescent="0.35">
      <c r="A1519">
        <v>1517</v>
      </c>
      <c r="B1519" t="s">
        <v>10</v>
      </c>
      <c r="C1519" t="s">
        <v>35</v>
      </c>
      <c r="D1519">
        <v>0.2</v>
      </c>
      <c r="E1519">
        <v>0.8</v>
      </c>
      <c r="F1519">
        <v>298.14999999999998</v>
      </c>
      <c r="G1519">
        <v>1547</v>
      </c>
      <c r="H1519">
        <f t="shared" si="92"/>
        <v>-3.03</v>
      </c>
      <c r="I1519">
        <v>4.8315638126067789E-2</v>
      </c>
      <c r="J1519" t="str">
        <f t="shared" si="93"/>
        <v>C[P+](C1=CC=CC=C1)(C2=CC=CC=C2)C3=CC=CC=C3.[Br-]CC(CO)O</v>
      </c>
      <c r="K1519">
        <v>98</v>
      </c>
      <c r="M1519">
        <f t="shared" si="94"/>
        <v>-1.1215370428862177</v>
      </c>
      <c r="N1519">
        <f t="shared" si="95"/>
        <v>0.24385574451584174</v>
      </c>
    </row>
    <row r="1520" spans="1:14" x14ac:dyDescent="0.35">
      <c r="A1520">
        <v>1518</v>
      </c>
      <c r="B1520" t="s">
        <v>10</v>
      </c>
      <c r="C1520" t="s">
        <v>35</v>
      </c>
      <c r="D1520">
        <v>0.2</v>
      </c>
      <c r="E1520">
        <v>0.8</v>
      </c>
      <c r="F1520">
        <v>298.14999999999998</v>
      </c>
      <c r="G1520">
        <v>1834</v>
      </c>
      <c r="H1520">
        <f t="shared" si="92"/>
        <v>-2.8</v>
      </c>
      <c r="I1520">
        <v>6.0810062625217973E-2</v>
      </c>
      <c r="J1520" t="str">
        <f t="shared" si="93"/>
        <v>C[P+](C1=CC=CC=C1)(C2=CC=CC=C2)C3=CC=CC=C3.[Br-]CC(CO)O</v>
      </c>
      <c r="K1520">
        <v>98</v>
      </c>
      <c r="M1520">
        <f t="shared" si="94"/>
        <v>-1.1215370428862177</v>
      </c>
      <c r="N1520">
        <f t="shared" si="95"/>
        <v>0.40437068034988455</v>
      </c>
    </row>
    <row r="1521" spans="1:14" x14ac:dyDescent="0.35">
      <c r="A1521">
        <v>1519</v>
      </c>
      <c r="B1521" t="s">
        <v>10</v>
      </c>
      <c r="C1521" t="s">
        <v>35</v>
      </c>
      <c r="D1521">
        <v>0.2</v>
      </c>
      <c r="E1521">
        <v>0.8</v>
      </c>
      <c r="F1521">
        <v>298.14999999999998</v>
      </c>
      <c r="G1521">
        <v>2026</v>
      </c>
      <c r="H1521">
        <f t="shared" si="92"/>
        <v>-2.69</v>
      </c>
      <c r="I1521">
        <v>6.7880939371761442E-2</v>
      </c>
      <c r="J1521" t="str">
        <f t="shared" si="93"/>
        <v>C[P+](C1=CC=CC=C1)(C2=CC=CC=C2)C3=CC=CC=C3.[Br-]CC(CO)O</v>
      </c>
      <c r="K1521">
        <v>98</v>
      </c>
      <c r="M1521">
        <f t="shared" si="94"/>
        <v>-1.1215370428862177</v>
      </c>
      <c r="N1521">
        <f t="shared" si="95"/>
        <v>0.51175349456638708</v>
      </c>
    </row>
    <row r="1522" spans="1:14" x14ac:dyDescent="0.35">
      <c r="A1522">
        <v>1520</v>
      </c>
      <c r="B1522" t="s">
        <v>10</v>
      </c>
      <c r="C1522" t="s">
        <v>39</v>
      </c>
      <c r="D1522">
        <v>0.2</v>
      </c>
      <c r="E1522">
        <v>0.8</v>
      </c>
      <c r="F1522">
        <v>298.14999999999998</v>
      </c>
      <c r="G1522">
        <v>173</v>
      </c>
      <c r="H1522">
        <f t="shared" si="92"/>
        <v>-4.75</v>
      </c>
      <c r="I1522">
        <v>8.6516952031206341E-3</v>
      </c>
      <c r="J1522" t="str">
        <f t="shared" si="93"/>
        <v>C[P+](C1=CC=CC=C1)(C2=CC=CC=C2)C3=CC=CC=C3.[Br-]CC(=O)O</v>
      </c>
      <c r="K1522">
        <v>97</v>
      </c>
      <c r="M1522">
        <f t="shared" si="94"/>
        <v>-1.1215370428862177</v>
      </c>
      <c r="N1522">
        <f t="shared" si="95"/>
        <v>-0.52460251972100425</v>
      </c>
    </row>
    <row r="1523" spans="1:14" x14ac:dyDescent="0.35">
      <c r="A1523">
        <v>1521</v>
      </c>
      <c r="B1523" t="s">
        <v>10</v>
      </c>
      <c r="C1523" t="s">
        <v>39</v>
      </c>
      <c r="D1523">
        <v>0.2</v>
      </c>
      <c r="E1523">
        <v>0.8</v>
      </c>
      <c r="F1523">
        <v>298.14999999999998</v>
      </c>
      <c r="G1523">
        <v>380</v>
      </c>
      <c r="H1523">
        <f t="shared" si="92"/>
        <v>-3.7</v>
      </c>
      <c r="I1523">
        <v>2.4723526470339388E-2</v>
      </c>
      <c r="J1523" t="str">
        <f t="shared" si="93"/>
        <v>C[P+](C1=CC=CC=C1)(C2=CC=CC=C2)C3=CC=CC=C3.[Br-]CC(=O)O</v>
      </c>
      <c r="K1523">
        <v>97</v>
      </c>
      <c r="M1523">
        <f t="shared" si="94"/>
        <v>-1.1215370428862177</v>
      </c>
      <c r="N1523">
        <f t="shared" si="95"/>
        <v>-0.4088304231438375</v>
      </c>
    </row>
    <row r="1524" spans="1:14" x14ac:dyDescent="0.35">
      <c r="A1524">
        <v>1522</v>
      </c>
      <c r="B1524" t="s">
        <v>10</v>
      </c>
      <c r="C1524" t="s">
        <v>39</v>
      </c>
      <c r="D1524">
        <v>0.2</v>
      </c>
      <c r="E1524">
        <v>0.8</v>
      </c>
      <c r="F1524">
        <v>298.14999999999998</v>
      </c>
      <c r="G1524">
        <v>652</v>
      </c>
      <c r="H1524">
        <f t="shared" si="92"/>
        <v>-3.11</v>
      </c>
      <c r="I1524">
        <v>4.4600955340274535E-2</v>
      </c>
      <c r="J1524" t="str">
        <f t="shared" si="93"/>
        <v>C[P+](C1=CC=CC=C1)(C2=CC=CC=C2)C3=CC=CC=C3.[Br-]CC(=O)O</v>
      </c>
      <c r="K1524">
        <v>97</v>
      </c>
      <c r="M1524">
        <f t="shared" si="94"/>
        <v>-1.1215370428862177</v>
      </c>
      <c r="N1524">
        <f t="shared" si="95"/>
        <v>-0.25670476967045897</v>
      </c>
    </row>
    <row r="1525" spans="1:14" x14ac:dyDescent="0.35">
      <c r="A1525">
        <v>1523</v>
      </c>
      <c r="B1525" t="s">
        <v>10</v>
      </c>
      <c r="C1525" t="s">
        <v>39</v>
      </c>
      <c r="D1525">
        <v>0.2</v>
      </c>
      <c r="E1525">
        <v>0.8</v>
      </c>
      <c r="F1525">
        <v>298.14999999999998</v>
      </c>
      <c r="G1525">
        <v>938</v>
      </c>
      <c r="H1525">
        <f t="shared" si="92"/>
        <v>-2.5499999999999998</v>
      </c>
      <c r="I1525">
        <v>7.8081666001153169E-2</v>
      </c>
      <c r="J1525" t="str">
        <f t="shared" si="93"/>
        <v>C[P+](C1=CC=CC=C1)(C2=CC=CC=C2)C3=CC=CC=C3.[Br-]CC(=O)O</v>
      </c>
      <c r="K1525">
        <v>97</v>
      </c>
      <c r="M1525">
        <f t="shared" si="94"/>
        <v>-1.1215370428862177</v>
      </c>
      <c r="N1525">
        <f t="shared" si="95"/>
        <v>-9.6749119327127125E-2</v>
      </c>
    </row>
    <row r="1526" spans="1:14" x14ac:dyDescent="0.35">
      <c r="A1526">
        <v>1524</v>
      </c>
      <c r="B1526" t="s">
        <v>10</v>
      </c>
      <c r="C1526" t="s">
        <v>39</v>
      </c>
      <c r="D1526">
        <v>0.2</v>
      </c>
      <c r="E1526">
        <v>0.8</v>
      </c>
      <c r="F1526">
        <v>298.14999999999998</v>
      </c>
      <c r="G1526">
        <v>1134</v>
      </c>
      <c r="H1526">
        <f t="shared" si="92"/>
        <v>-2.23</v>
      </c>
      <c r="I1526">
        <v>0.10752843013579495</v>
      </c>
      <c r="J1526" t="str">
        <f t="shared" si="93"/>
        <v>C[P+](C1=CC=CC=C1)(C2=CC=CC=C2)C3=CC=CC=C3.[Br-]CC(=O)O</v>
      </c>
      <c r="K1526">
        <v>97</v>
      </c>
      <c r="M1526">
        <f t="shared" si="94"/>
        <v>-1.1215370428862177</v>
      </c>
      <c r="N1526">
        <f t="shared" si="95"/>
        <v>1.2870836852219179E-2</v>
      </c>
    </row>
    <row r="1527" spans="1:14" x14ac:dyDescent="0.35">
      <c r="A1527">
        <v>1525</v>
      </c>
      <c r="B1527" t="s">
        <v>10</v>
      </c>
      <c r="C1527" t="s">
        <v>39</v>
      </c>
      <c r="D1527">
        <v>0.2</v>
      </c>
      <c r="E1527">
        <v>0.8</v>
      </c>
      <c r="F1527">
        <v>298.14999999999998</v>
      </c>
      <c r="G1527">
        <v>1524</v>
      </c>
      <c r="H1527">
        <f t="shared" si="92"/>
        <v>-1.75</v>
      </c>
      <c r="I1527">
        <v>0.17377394345044514</v>
      </c>
      <c r="J1527" t="str">
        <f t="shared" si="93"/>
        <v>C[P+](C1=CC=CC=C1)(C2=CC=CC=C2)C3=CC=CC=C3.[Br-]CC(=O)O</v>
      </c>
      <c r="K1527">
        <v>97</v>
      </c>
      <c r="M1527">
        <f t="shared" si="94"/>
        <v>-1.1215370428862177</v>
      </c>
      <c r="N1527">
        <f t="shared" si="95"/>
        <v>0.23099217822948989</v>
      </c>
    </row>
    <row r="1528" spans="1:14" x14ac:dyDescent="0.35">
      <c r="A1528">
        <v>1526</v>
      </c>
      <c r="B1528" t="s">
        <v>10</v>
      </c>
      <c r="C1528" t="s">
        <v>39</v>
      </c>
      <c r="D1528">
        <v>0.2</v>
      </c>
      <c r="E1528">
        <v>0.8</v>
      </c>
      <c r="F1528">
        <v>298.14999999999998</v>
      </c>
      <c r="G1528">
        <v>1843</v>
      </c>
      <c r="H1528">
        <f t="shared" si="92"/>
        <v>-1.55</v>
      </c>
      <c r="I1528">
        <v>0.21224797382674304</v>
      </c>
      <c r="J1528" t="str">
        <f t="shared" si="93"/>
        <v>C[P+](C1=CC=CC=C1)(C2=CC=CC=C2)C3=CC=CC=C3.[Br-]CC(=O)O</v>
      </c>
      <c r="K1528">
        <v>97</v>
      </c>
      <c r="M1528">
        <f t="shared" si="94"/>
        <v>-1.1215370428862177</v>
      </c>
      <c r="N1528">
        <f t="shared" si="95"/>
        <v>0.40940424976628309</v>
      </c>
    </row>
    <row r="1529" spans="1:14" x14ac:dyDescent="0.35">
      <c r="A1529">
        <v>1527</v>
      </c>
      <c r="B1529" t="s">
        <v>10</v>
      </c>
      <c r="C1529" t="s">
        <v>39</v>
      </c>
      <c r="D1529">
        <v>0.2</v>
      </c>
      <c r="E1529">
        <v>0.8</v>
      </c>
      <c r="F1529">
        <v>298.14999999999998</v>
      </c>
      <c r="G1529">
        <v>2014</v>
      </c>
      <c r="H1529">
        <f t="shared" si="92"/>
        <v>-1.33</v>
      </c>
      <c r="I1529">
        <v>0.26447726129982396</v>
      </c>
      <c r="J1529" t="str">
        <f t="shared" si="93"/>
        <v>C[P+](C1=CC=CC=C1)(C2=CC=CC=C2)C3=CC=CC=C3.[Br-]CC(=O)O</v>
      </c>
      <c r="K1529">
        <v>97</v>
      </c>
      <c r="M1529">
        <f t="shared" si="94"/>
        <v>-1.1215370428862177</v>
      </c>
      <c r="N1529">
        <f t="shared" si="95"/>
        <v>0.50504206867785562</v>
      </c>
    </row>
    <row r="1530" spans="1:14" x14ac:dyDescent="0.35">
      <c r="A1530">
        <v>1528</v>
      </c>
      <c r="B1530" t="s">
        <v>17</v>
      </c>
      <c r="C1530" t="s">
        <v>39</v>
      </c>
      <c r="D1530">
        <v>0.2</v>
      </c>
      <c r="E1530">
        <v>0.8</v>
      </c>
      <c r="F1530">
        <v>298.14999999999998</v>
      </c>
      <c r="G1530">
        <v>294</v>
      </c>
      <c r="H1530">
        <f t="shared" si="92"/>
        <v>-4.79</v>
      </c>
      <c r="I1530">
        <v>8.3124573819231187E-3</v>
      </c>
      <c r="J1530" t="str">
        <f t="shared" si="93"/>
        <v>C[N+](C)(C)C.[Cl-]CC(=O)O</v>
      </c>
      <c r="K1530">
        <v>68</v>
      </c>
      <c r="M1530">
        <f t="shared" si="94"/>
        <v>-1.1215370428862177</v>
      </c>
      <c r="N1530">
        <f t="shared" si="95"/>
        <v>-0.45692897534497928</v>
      </c>
    </row>
    <row r="1531" spans="1:14" x14ac:dyDescent="0.35">
      <c r="A1531">
        <v>1529</v>
      </c>
      <c r="B1531" t="s">
        <v>17</v>
      </c>
      <c r="C1531" t="s">
        <v>39</v>
      </c>
      <c r="D1531">
        <v>0.2</v>
      </c>
      <c r="E1531">
        <v>0.8</v>
      </c>
      <c r="F1531">
        <v>298.14999999999998</v>
      </c>
      <c r="G1531">
        <v>519</v>
      </c>
      <c r="H1531">
        <f t="shared" si="92"/>
        <v>-3.9</v>
      </c>
      <c r="I1531">
        <v>2.0241911445804391E-2</v>
      </c>
      <c r="J1531" t="str">
        <f t="shared" si="93"/>
        <v>C[N+](C)(C)C.[Cl-]CC(=O)O</v>
      </c>
      <c r="K1531">
        <v>68</v>
      </c>
      <c r="M1531">
        <f t="shared" si="94"/>
        <v>-1.1215370428862177</v>
      </c>
      <c r="N1531">
        <f t="shared" si="95"/>
        <v>-0.33108973993501539</v>
      </c>
    </row>
    <row r="1532" spans="1:14" x14ac:dyDescent="0.35">
      <c r="A1532">
        <v>1530</v>
      </c>
      <c r="B1532" t="s">
        <v>17</v>
      </c>
      <c r="C1532" t="s">
        <v>39</v>
      </c>
      <c r="D1532">
        <v>0.2</v>
      </c>
      <c r="E1532">
        <v>0.8</v>
      </c>
      <c r="F1532">
        <v>298.14999999999998</v>
      </c>
      <c r="G1532">
        <v>731</v>
      </c>
      <c r="H1532">
        <f t="shared" si="92"/>
        <v>-3.82</v>
      </c>
      <c r="I1532">
        <v>2.192780089426162E-2</v>
      </c>
      <c r="J1532" t="str">
        <f t="shared" si="93"/>
        <v>C[N+](C)(C)C.[Cl-]CC(=O)O</v>
      </c>
      <c r="K1532">
        <v>68</v>
      </c>
      <c r="M1532">
        <f t="shared" si="94"/>
        <v>-1.1215370428862177</v>
      </c>
      <c r="N1532">
        <f t="shared" si="95"/>
        <v>-0.21252121590429388</v>
      </c>
    </row>
    <row r="1533" spans="1:14" x14ac:dyDescent="0.35">
      <c r="A1533">
        <v>1531</v>
      </c>
      <c r="B1533" t="s">
        <v>17</v>
      </c>
      <c r="C1533" t="s">
        <v>39</v>
      </c>
      <c r="D1533">
        <v>0.2</v>
      </c>
      <c r="E1533">
        <v>0.8</v>
      </c>
      <c r="F1533">
        <v>298.14999999999998</v>
      </c>
      <c r="G1533">
        <v>1015</v>
      </c>
      <c r="H1533">
        <f t="shared" si="92"/>
        <v>-3.65</v>
      </c>
      <c r="I1533">
        <v>2.5991128778755347E-2</v>
      </c>
      <c r="J1533" t="str">
        <f t="shared" si="93"/>
        <v>C[N+](C)(C)C.[Cl-]CC(=O)O</v>
      </c>
      <c r="K1533">
        <v>68</v>
      </c>
      <c r="M1533">
        <f t="shared" si="94"/>
        <v>-1.1215370428862177</v>
      </c>
      <c r="N1533">
        <f t="shared" si="95"/>
        <v>-5.368413654238393E-2</v>
      </c>
    </row>
    <row r="1534" spans="1:14" x14ac:dyDescent="0.35">
      <c r="A1534">
        <v>1532</v>
      </c>
      <c r="B1534" t="s">
        <v>17</v>
      </c>
      <c r="C1534" t="s">
        <v>39</v>
      </c>
      <c r="D1534">
        <v>0.2</v>
      </c>
      <c r="E1534">
        <v>0.8</v>
      </c>
      <c r="F1534">
        <v>298.14999999999998</v>
      </c>
      <c r="G1534">
        <v>1312</v>
      </c>
      <c r="H1534">
        <f t="shared" si="92"/>
        <v>-3.47</v>
      </c>
      <c r="I1534">
        <v>3.1117030661060859E-2</v>
      </c>
      <c r="J1534" t="str">
        <f t="shared" si="93"/>
        <v>C[N+](C)(C)C.[Cl-]CC(=O)O</v>
      </c>
      <c r="K1534">
        <v>68</v>
      </c>
      <c r="M1534">
        <f t="shared" si="94"/>
        <v>-1.1215370428862177</v>
      </c>
      <c r="N1534">
        <f t="shared" si="95"/>
        <v>0.11242365419876837</v>
      </c>
    </row>
    <row r="1535" spans="1:14" x14ac:dyDescent="0.35">
      <c r="A1535">
        <v>1533</v>
      </c>
      <c r="B1535" t="s">
        <v>17</v>
      </c>
      <c r="C1535" t="s">
        <v>39</v>
      </c>
      <c r="D1535">
        <v>0.2</v>
      </c>
      <c r="E1535">
        <v>0.8</v>
      </c>
      <c r="F1535">
        <v>298.14999999999998</v>
      </c>
      <c r="G1535">
        <v>1741</v>
      </c>
      <c r="H1535">
        <f t="shared" si="92"/>
        <v>-3.12</v>
      </c>
      <c r="I1535">
        <v>4.415716841969286E-2</v>
      </c>
      <c r="J1535" t="str">
        <f t="shared" si="93"/>
        <v>C[N+](C)(C)C.[Cl-]CC(=O)O</v>
      </c>
      <c r="K1535">
        <v>68</v>
      </c>
      <c r="M1535">
        <f t="shared" si="94"/>
        <v>-1.1215370428862177</v>
      </c>
      <c r="N1535">
        <f t="shared" si="95"/>
        <v>0.35235712971376615</v>
      </c>
    </row>
    <row r="1536" spans="1:14" x14ac:dyDescent="0.35">
      <c r="A1536">
        <v>1534</v>
      </c>
      <c r="B1536" t="s">
        <v>22</v>
      </c>
      <c r="C1536" t="s">
        <v>46</v>
      </c>
      <c r="D1536">
        <v>0.2</v>
      </c>
      <c r="E1536">
        <v>0.8</v>
      </c>
      <c r="F1536">
        <v>298.14999999999998</v>
      </c>
      <c r="G1536">
        <v>481</v>
      </c>
      <c r="H1536">
        <f t="shared" si="92"/>
        <v>-3.49</v>
      </c>
      <c r="I1536">
        <v>3.0500872171217483E-2</v>
      </c>
      <c r="J1536" t="str">
        <f t="shared" si="93"/>
        <v>CCC[N+](CCC)(CCC)CCC.[Cl-]C(CO)N</v>
      </c>
      <c r="K1536">
        <v>45</v>
      </c>
      <c r="M1536">
        <f t="shared" si="94"/>
        <v>-1.1215370428862177</v>
      </c>
      <c r="N1536">
        <f t="shared" si="95"/>
        <v>-0.35234258858203149</v>
      </c>
    </row>
    <row r="1537" spans="1:14" x14ac:dyDescent="0.35">
      <c r="A1537">
        <v>1535</v>
      </c>
      <c r="B1537" t="s">
        <v>22</v>
      </c>
      <c r="C1537" t="s">
        <v>46</v>
      </c>
      <c r="D1537">
        <v>0.2</v>
      </c>
      <c r="E1537">
        <v>0.8</v>
      </c>
      <c r="F1537">
        <v>298.14999999999998</v>
      </c>
      <c r="G1537">
        <v>784</v>
      </c>
      <c r="H1537">
        <f t="shared" si="92"/>
        <v>-2.88</v>
      </c>
      <c r="I1537">
        <v>5.6134762834133725E-2</v>
      </c>
      <c r="J1537" t="str">
        <f t="shared" si="93"/>
        <v>CCC[N+](CCC)(CCC)CCC.[Cl-]C(CO)N</v>
      </c>
      <c r="K1537">
        <v>45</v>
      </c>
      <c r="M1537">
        <f t="shared" si="94"/>
        <v>-1.1215370428862177</v>
      </c>
      <c r="N1537">
        <f t="shared" si="95"/>
        <v>-0.1828790848966135</v>
      </c>
    </row>
    <row r="1538" spans="1:14" x14ac:dyDescent="0.35">
      <c r="A1538">
        <v>1536</v>
      </c>
      <c r="B1538" t="s">
        <v>22</v>
      </c>
      <c r="C1538" t="s">
        <v>46</v>
      </c>
      <c r="D1538">
        <v>0.2</v>
      </c>
      <c r="E1538">
        <v>0.8</v>
      </c>
      <c r="F1538">
        <v>298.14999999999998</v>
      </c>
      <c r="G1538">
        <v>1057</v>
      </c>
      <c r="H1538">
        <f t="shared" si="92"/>
        <v>-2.52</v>
      </c>
      <c r="I1538">
        <v>8.0459606749532439E-2</v>
      </c>
      <c r="J1538" t="str">
        <f t="shared" si="93"/>
        <v>CCC[N+](CCC)(CCC)CCC.[Cl-]C(CO)N</v>
      </c>
      <c r="K1538">
        <v>45</v>
      </c>
      <c r="M1538">
        <f t="shared" si="94"/>
        <v>-1.1215370428862177</v>
      </c>
      <c r="N1538">
        <f t="shared" si="95"/>
        <v>-3.0194145932524011E-2</v>
      </c>
    </row>
    <row r="1539" spans="1:14" x14ac:dyDescent="0.35">
      <c r="A1539">
        <v>1537</v>
      </c>
      <c r="B1539" t="s">
        <v>22</v>
      </c>
      <c r="C1539" t="s">
        <v>46</v>
      </c>
      <c r="D1539">
        <v>0.2</v>
      </c>
      <c r="E1539">
        <v>0.8</v>
      </c>
      <c r="F1539">
        <v>298.14999999999998</v>
      </c>
      <c r="G1539">
        <v>1317</v>
      </c>
      <c r="H1539">
        <f t="shared" ref="H1539:H1602" si="96">LN(I1539)</f>
        <v>-2.34</v>
      </c>
      <c r="I1539">
        <v>9.6327638230493035E-2</v>
      </c>
      <c r="J1539" t="str">
        <f t="shared" ref="J1539:J1602" si="97">_xlfn.CONCAT(B1539,C1539)</f>
        <v>CCC[N+](CCC)(CCC)CCC.[Cl-]C(CO)N</v>
      </c>
      <c r="K1539">
        <v>45</v>
      </c>
      <c r="M1539">
        <f t="shared" ref="M1539:M1602" si="98">(F1539-$L$3)/$L$2</f>
        <v>-1.1215370428862177</v>
      </c>
      <c r="N1539">
        <f t="shared" ref="N1539:N1602" si="99">(G1539-$L$6)/$L$5</f>
        <v>0.11522008165232313</v>
      </c>
    </row>
    <row r="1540" spans="1:14" x14ac:dyDescent="0.35">
      <c r="A1540">
        <v>1538</v>
      </c>
      <c r="B1540" t="s">
        <v>22</v>
      </c>
      <c r="C1540" t="s">
        <v>46</v>
      </c>
      <c r="D1540">
        <v>0.2</v>
      </c>
      <c r="E1540">
        <v>0.8</v>
      </c>
      <c r="F1540">
        <v>298.14999999999998</v>
      </c>
      <c r="G1540">
        <v>1700</v>
      </c>
      <c r="H1540">
        <f t="shared" si="96"/>
        <v>-2.23</v>
      </c>
      <c r="I1540">
        <v>0.10752843013579495</v>
      </c>
      <c r="J1540" t="str">
        <f t="shared" si="97"/>
        <v>CCC[N+](CCC)(CCC)CCC.[Cl-]C(CO)N</v>
      </c>
      <c r="K1540">
        <v>45</v>
      </c>
      <c r="M1540">
        <f t="shared" si="98"/>
        <v>-1.1215370428862177</v>
      </c>
      <c r="N1540">
        <f t="shared" si="99"/>
        <v>0.32942642459461718</v>
      </c>
    </row>
    <row r="1541" spans="1:14" x14ac:dyDescent="0.35">
      <c r="A1541">
        <v>1539</v>
      </c>
      <c r="B1541" t="s">
        <v>22</v>
      </c>
      <c r="C1541" t="s">
        <v>46</v>
      </c>
      <c r="D1541">
        <v>0.2</v>
      </c>
      <c r="E1541">
        <v>0.8</v>
      </c>
      <c r="F1541">
        <v>298.14999999999998</v>
      </c>
      <c r="G1541">
        <v>2009</v>
      </c>
      <c r="H1541">
        <f t="shared" si="96"/>
        <v>-2.14</v>
      </c>
      <c r="I1541">
        <v>0.11765484302177918</v>
      </c>
      <c r="J1541" t="str">
        <f t="shared" si="97"/>
        <v>CCC[N+](CCC)(CCC)CCC.[Cl-]C(CO)N</v>
      </c>
      <c r="K1541">
        <v>45</v>
      </c>
      <c r="M1541">
        <f t="shared" si="98"/>
        <v>-1.1215370428862177</v>
      </c>
      <c r="N1541">
        <f t="shared" si="99"/>
        <v>0.50224564122430093</v>
      </c>
    </row>
    <row r="1542" spans="1:14" x14ac:dyDescent="0.35">
      <c r="A1542">
        <v>1540</v>
      </c>
      <c r="B1542" t="s">
        <v>10</v>
      </c>
      <c r="C1542" t="s">
        <v>42</v>
      </c>
      <c r="D1542">
        <v>0.2</v>
      </c>
      <c r="E1542">
        <v>0.8</v>
      </c>
      <c r="F1542">
        <v>298.14999999999998</v>
      </c>
      <c r="G1542">
        <v>161</v>
      </c>
      <c r="H1542">
        <f t="shared" si="96"/>
        <v>-6.64</v>
      </c>
      <c r="I1542">
        <v>1.3070272438363876E-3</v>
      </c>
      <c r="J1542" t="str">
        <f t="shared" si="97"/>
        <v>C[P+](C1=CC=CC=C1)(C2=CC=CC=C2)C3=CC=CC=C3.[Br-]C(C(CO)O)O</v>
      </c>
      <c r="K1542">
        <v>93</v>
      </c>
      <c r="M1542">
        <f t="shared" si="98"/>
        <v>-1.1215370428862177</v>
      </c>
      <c r="N1542">
        <f t="shared" si="99"/>
        <v>-0.53131394560953571</v>
      </c>
    </row>
    <row r="1543" spans="1:14" x14ac:dyDescent="0.35">
      <c r="A1543">
        <v>1541</v>
      </c>
      <c r="B1543" t="s">
        <v>10</v>
      </c>
      <c r="C1543" t="s">
        <v>42</v>
      </c>
      <c r="D1543">
        <v>0.2</v>
      </c>
      <c r="E1543">
        <v>0.8</v>
      </c>
      <c r="F1543">
        <v>298.14999999999998</v>
      </c>
      <c r="G1543">
        <v>443</v>
      </c>
      <c r="H1543">
        <f t="shared" si="96"/>
        <v>-5.35</v>
      </c>
      <c r="I1543">
        <v>4.7481509994114776E-3</v>
      </c>
      <c r="J1543" t="str">
        <f t="shared" si="97"/>
        <v>C[P+](C1=CC=CC=C1)(C2=CC=CC=C2)C3=CC=CC=C3.[Br-]C(C(CO)O)O</v>
      </c>
      <c r="K1543">
        <v>93</v>
      </c>
      <c r="M1543">
        <f t="shared" si="98"/>
        <v>-1.1215370428862177</v>
      </c>
      <c r="N1543">
        <f t="shared" si="99"/>
        <v>-0.37359543722904764</v>
      </c>
    </row>
    <row r="1544" spans="1:14" x14ac:dyDescent="0.35">
      <c r="A1544">
        <v>1542</v>
      </c>
      <c r="B1544" t="s">
        <v>10</v>
      </c>
      <c r="C1544" t="s">
        <v>42</v>
      </c>
      <c r="D1544">
        <v>0.2</v>
      </c>
      <c r="E1544">
        <v>0.8</v>
      </c>
      <c r="F1544">
        <v>298.14999999999998</v>
      </c>
      <c r="G1544">
        <v>875</v>
      </c>
      <c r="H1544">
        <f t="shared" si="96"/>
        <v>-4.1399999999999997</v>
      </c>
      <c r="I1544">
        <v>1.5922851504511698E-2</v>
      </c>
      <c r="J1544" t="str">
        <f t="shared" si="97"/>
        <v>C[P+](C1=CC=CC=C1)(C2=CC=CC=C2)C3=CC=CC=C3.[Br-]C(C(CO)O)O</v>
      </c>
      <c r="K1544">
        <v>93</v>
      </c>
      <c r="M1544">
        <f t="shared" si="98"/>
        <v>-1.1215370428862177</v>
      </c>
      <c r="N1544">
        <f t="shared" si="99"/>
        <v>-0.131984105241917</v>
      </c>
    </row>
    <row r="1545" spans="1:14" x14ac:dyDescent="0.35">
      <c r="A1545">
        <v>1543</v>
      </c>
      <c r="B1545" t="s">
        <v>10</v>
      </c>
      <c r="C1545" t="s">
        <v>42</v>
      </c>
      <c r="D1545">
        <v>0.2</v>
      </c>
      <c r="E1545">
        <v>0.8</v>
      </c>
      <c r="F1545">
        <v>298.14999999999998</v>
      </c>
      <c r="G1545">
        <v>1225</v>
      </c>
      <c r="H1545">
        <f t="shared" si="96"/>
        <v>-3.55</v>
      </c>
      <c r="I1545">
        <v>2.8724639654239433E-2</v>
      </c>
      <c r="J1545" t="str">
        <f t="shared" si="97"/>
        <v>C[P+](C1=CC=CC=C1)(C2=CC=CC=C2)C3=CC=CC=C3.[Br-]C(C(CO)O)O</v>
      </c>
      <c r="K1545">
        <v>93</v>
      </c>
      <c r="M1545">
        <f t="shared" si="98"/>
        <v>-1.1215370428862177</v>
      </c>
      <c r="N1545">
        <f t="shared" si="99"/>
        <v>6.3765816506915679E-2</v>
      </c>
    </row>
    <row r="1546" spans="1:14" x14ac:dyDescent="0.35">
      <c r="A1546">
        <v>1544</v>
      </c>
      <c r="B1546" t="s">
        <v>10</v>
      </c>
      <c r="C1546" t="s">
        <v>42</v>
      </c>
      <c r="D1546">
        <v>0.2</v>
      </c>
      <c r="E1546">
        <v>0.8</v>
      </c>
      <c r="F1546">
        <v>298.14999999999998</v>
      </c>
      <c r="G1546">
        <v>1696</v>
      </c>
      <c r="H1546">
        <f t="shared" si="96"/>
        <v>-3.32</v>
      </c>
      <c r="I1546">
        <v>3.6152831754046426E-2</v>
      </c>
      <c r="J1546" t="str">
        <f t="shared" si="97"/>
        <v>C[P+](C1=CC=CC=C1)(C2=CC=CC=C2)C3=CC=CC=C3.[Br-]C(C(CO)O)O</v>
      </c>
      <c r="K1546">
        <v>93</v>
      </c>
      <c r="M1546">
        <f t="shared" si="98"/>
        <v>-1.1215370428862177</v>
      </c>
      <c r="N1546">
        <f t="shared" si="99"/>
        <v>0.32718928263177338</v>
      </c>
    </row>
    <row r="1547" spans="1:14" x14ac:dyDescent="0.35">
      <c r="A1547">
        <v>1545</v>
      </c>
      <c r="B1547" t="s">
        <v>10</v>
      </c>
      <c r="C1547" t="s">
        <v>42</v>
      </c>
      <c r="D1547">
        <v>0.2</v>
      </c>
      <c r="E1547">
        <v>0.8</v>
      </c>
      <c r="F1547">
        <v>298.14999999999998</v>
      </c>
      <c r="G1547">
        <v>2026</v>
      </c>
      <c r="H1547">
        <f t="shared" si="96"/>
        <v>-3.21</v>
      </c>
      <c r="I1547">
        <v>4.0356613272031147E-2</v>
      </c>
      <c r="J1547" t="str">
        <f t="shared" si="97"/>
        <v>C[P+](C1=CC=CC=C1)(C2=CC=CC=C2)C3=CC=CC=C3.[Br-]C(C(CO)O)O</v>
      </c>
      <c r="K1547">
        <v>93</v>
      </c>
      <c r="M1547">
        <f t="shared" si="98"/>
        <v>-1.1215370428862177</v>
      </c>
      <c r="N1547">
        <f t="shared" si="99"/>
        <v>0.51175349456638708</v>
      </c>
    </row>
    <row r="1548" spans="1:14" x14ac:dyDescent="0.35">
      <c r="A1548">
        <v>1546</v>
      </c>
      <c r="B1548" t="s">
        <v>7</v>
      </c>
      <c r="C1548" t="s">
        <v>36</v>
      </c>
      <c r="D1548">
        <v>0.2</v>
      </c>
      <c r="E1548">
        <v>0.8</v>
      </c>
      <c r="F1548">
        <v>293.14999999999998</v>
      </c>
      <c r="G1548">
        <v>109.5</v>
      </c>
      <c r="H1548">
        <f t="shared" si="96"/>
        <v>-5.78</v>
      </c>
      <c r="I1548">
        <v>3.0887154082367687E-3</v>
      </c>
      <c r="J1548" t="str">
        <f t="shared" si="97"/>
        <v>C[N+](C)(C)CCO.[Cl-]C(CCO)CO</v>
      </c>
      <c r="K1548">
        <v>77</v>
      </c>
      <c r="M1548">
        <f t="shared" si="98"/>
        <v>-1.5133953811599403</v>
      </c>
      <c r="N1548">
        <f t="shared" si="99"/>
        <v>-0.56011714838114968</v>
      </c>
    </row>
    <row r="1549" spans="1:14" x14ac:dyDescent="0.35">
      <c r="A1549">
        <v>1547</v>
      </c>
      <c r="B1549" t="s">
        <v>7</v>
      </c>
      <c r="C1549" t="s">
        <v>36</v>
      </c>
      <c r="D1549">
        <v>0.2</v>
      </c>
      <c r="E1549">
        <v>0.8</v>
      </c>
      <c r="F1549">
        <v>293.14999999999998</v>
      </c>
      <c r="G1549">
        <v>214.5</v>
      </c>
      <c r="H1549">
        <f t="shared" si="96"/>
        <v>-5.08</v>
      </c>
      <c r="I1549">
        <v>6.2199090159425728E-3</v>
      </c>
      <c r="J1549" t="str">
        <f t="shared" si="97"/>
        <v>C[N+](C)(C)CCO.[Cl-]C(CCO)CO</v>
      </c>
      <c r="K1549">
        <v>77</v>
      </c>
      <c r="M1549">
        <f t="shared" si="98"/>
        <v>-1.5133953811599403</v>
      </c>
      <c r="N1549">
        <f t="shared" si="99"/>
        <v>-0.50139217185649987</v>
      </c>
    </row>
    <row r="1550" spans="1:14" x14ac:dyDescent="0.35">
      <c r="A1550">
        <v>1548</v>
      </c>
      <c r="B1550" t="s">
        <v>7</v>
      </c>
      <c r="C1550" t="s">
        <v>36</v>
      </c>
      <c r="D1550">
        <v>0.2</v>
      </c>
      <c r="E1550">
        <v>0.8</v>
      </c>
      <c r="F1550">
        <v>293.14999999999998</v>
      </c>
      <c r="G1550">
        <v>316.39999999999998</v>
      </c>
      <c r="H1550">
        <f t="shared" si="96"/>
        <v>-4.68</v>
      </c>
      <c r="I1550">
        <v>9.2790138870647437E-3</v>
      </c>
      <c r="J1550" t="str">
        <f t="shared" si="97"/>
        <v>C[N+](C)(C)CCO.[Cl-]C(CCO)CO</v>
      </c>
      <c r="K1550">
        <v>77</v>
      </c>
      <c r="M1550">
        <f t="shared" si="98"/>
        <v>-1.5133953811599403</v>
      </c>
      <c r="N1550">
        <f t="shared" si="99"/>
        <v>-0.44440098035305398</v>
      </c>
    </row>
    <row r="1551" spans="1:14" x14ac:dyDescent="0.35">
      <c r="A1551">
        <v>1549</v>
      </c>
      <c r="B1551" t="s">
        <v>7</v>
      </c>
      <c r="C1551" t="s">
        <v>36</v>
      </c>
      <c r="D1551">
        <v>0.2</v>
      </c>
      <c r="E1551">
        <v>0.8</v>
      </c>
      <c r="F1551">
        <v>293.14999999999998</v>
      </c>
      <c r="G1551">
        <v>411.6</v>
      </c>
      <c r="H1551">
        <f t="shared" si="96"/>
        <v>-4.4000000000000004</v>
      </c>
      <c r="I1551">
        <v>1.2277339903068436E-2</v>
      </c>
      <c r="J1551" t="str">
        <f t="shared" si="97"/>
        <v>C[N+](C)(C)CCO.[Cl-]C(CCO)CO</v>
      </c>
      <c r="K1551">
        <v>77</v>
      </c>
      <c r="M1551">
        <f t="shared" si="98"/>
        <v>-1.5133953811599403</v>
      </c>
      <c r="N1551">
        <f t="shared" si="99"/>
        <v>-0.39115700163737149</v>
      </c>
    </row>
    <row r="1552" spans="1:14" x14ac:dyDescent="0.35">
      <c r="A1552">
        <v>1550</v>
      </c>
      <c r="B1552" t="s">
        <v>7</v>
      </c>
      <c r="C1552" t="s">
        <v>36</v>
      </c>
      <c r="D1552">
        <v>0.2</v>
      </c>
      <c r="E1552">
        <v>0.8</v>
      </c>
      <c r="F1552">
        <v>293.14999999999998</v>
      </c>
      <c r="G1552">
        <v>513.4</v>
      </c>
      <c r="H1552">
        <f t="shared" si="96"/>
        <v>-4.1733877695625532</v>
      </c>
      <c r="I1552">
        <v>1.54E-2</v>
      </c>
      <c r="J1552" t="str">
        <f t="shared" si="97"/>
        <v>C[N+](C)(C)CCO.[Cl-]C(CCO)CO</v>
      </c>
      <c r="K1552">
        <v>77</v>
      </c>
      <c r="M1552">
        <f t="shared" si="98"/>
        <v>-1.5133953811599403</v>
      </c>
      <c r="N1552">
        <f t="shared" si="99"/>
        <v>-0.33422173868299671</v>
      </c>
    </row>
    <row r="1553" spans="1:14" x14ac:dyDescent="0.35">
      <c r="A1553">
        <v>1551</v>
      </c>
      <c r="B1553" t="s">
        <v>7</v>
      </c>
      <c r="C1553" t="s">
        <v>36</v>
      </c>
      <c r="D1553">
        <v>0.2</v>
      </c>
      <c r="E1553">
        <v>0.8</v>
      </c>
      <c r="F1553">
        <v>303.14999999999998</v>
      </c>
      <c r="G1553">
        <v>105.8</v>
      </c>
      <c r="H1553">
        <f t="shared" si="96"/>
        <v>-5.91</v>
      </c>
      <c r="I1553">
        <v>2.7121868873866434E-3</v>
      </c>
      <c r="J1553" t="str">
        <f t="shared" si="97"/>
        <v>C[N+](C)(C)CCO.[Cl-]C(CCO)CO</v>
      </c>
      <c r="K1553">
        <v>77</v>
      </c>
      <c r="M1553">
        <f t="shared" si="98"/>
        <v>-0.72967870461249518</v>
      </c>
      <c r="N1553">
        <f t="shared" si="99"/>
        <v>-0.56218650469678022</v>
      </c>
    </row>
    <row r="1554" spans="1:14" x14ac:dyDescent="0.35">
      <c r="A1554">
        <v>1552</v>
      </c>
      <c r="B1554" t="s">
        <v>7</v>
      </c>
      <c r="C1554" t="s">
        <v>36</v>
      </c>
      <c r="D1554">
        <v>0.2</v>
      </c>
      <c r="E1554">
        <v>0.8</v>
      </c>
      <c r="F1554">
        <v>303.14999999999998</v>
      </c>
      <c r="G1554">
        <v>205.8</v>
      </c>
      <c r="H1554">
        <f t="shared" si="96"/>
        <v>-5.26</v>
      </c>
      <c r="I1554">
        <v>5.1953047187052312E-3</v>
      </c>
      <c r="J1554" t="str">
        <f t="shared" si="97"/>
        <v>C[N+](C)(C)CCO.[Cl-]C(CCO)CO</v>
      </c>
      <c r="K1554">
        <v>77</v>
      </c>
      <c r="M1554">
        <f t="shared" si="98"/>
        <v>-0.72967870461249518</v>
      </c>
      <c r="N1554">
        <f t="shared" si="99"/>
        <v>-0.5062579556256851</v>
      </c>
    </row>
    <row r="1555" spans="1:14" x14ac:dyDescent="0.35">
      <c r="A1555">
        <v>1553</v>
      </c>
      <c r="B1555" t="s">
        <v>7</v>
      </c>
      <c r="C1555" t="s">
        <v>36</v>
      </c>
      <c r="D1555">
        <v>0.2</v>
      </c>
      <c r="E1555">
        <v>0.8</v>
      </c>
      <c r="F1555">
        <v>303.14999999999998</v>
      </c>
      <c r="G1555">
        <v>304.7</v>
      </c>
      <c r="H1555">
        <f t="shared" si="96"/>
        <v>-4.8</v>
      </c>
      <c r="I1555">
        <v>8.2297470490200302E-3</v>
      </c>
      <c r="J1555" t="str">
        <f t="shared" si="97"/>
        <v>C[N+](C)(C)CCO.[Cl-]C(CCO)CO</v>
      </c>
      <c r="K1555">
        <v>77</v>
      </c>
      <c r="M1555">
        <f t="shared" si="98"/>
        <v>-0.72967870461249518</v>
      </c>
      <c r="N1555">
        <f t="shared" si="99"/>
        <v>-0.45094462059437207</v>
      </c>
    </row>
    <row r="1556" spans="1:14" x14ac:dyDescent="0.35">
      <c r="A1556">
        <v>1554</v>
      </c>
      <c r="B1556" t="s">
        <v>7</v>
      </c>
      <c r="C1556" t="s">
        <v>36</v>
      </c>
      <c r="D1556">
        <v>0.2</v>
      </c>
      <c r="E1556">
        <v>0.8</v>
      </c>
      <c r="F1556">
        <v>303.14999999999998</v>
      </c>
      <c r="G1556">
        <v>403.3</v>
      </c>
      <c r="H1556">
        <f t="shared" si="96"/>
        <v>-4.51</v>
      </c>
      <c r="I1556">
        <v>1.0998460175806881E-2</v>
      </c>
      <c r="J1556" t="str">
        <f t="shared" si="97"/>
        <v>C[N+](C)(C)CCO.[Cl-]C(CCO)CO</v>
      </c>
      <c r="K1556">
        <v>77</v>
      </c>
      <c r="M1556">
        <f t="shared" si="98"/>
        <v>-0.72967870461249518</v>
      </c>
      <c r="N1556">
        <f t="shared" si="99"/>
        <v>-0.39579907121027241</v>
      </c>
    </row>
    <row r="1557" spans="1:14" x14ac:dyDescent="0.35">
      <c r="A1557">
        <v>1555</v>
      </c>
      <c r="B1557" t="s">
        <v>7</v>
      </c>
      <c r="C1557" t="s">
        <v>36</v>
      </c>
      <c r="D1557">
        <v>0.2</v>
      </c>
      <c r="E1557">
        <v>0.8</v>
      </c>
      <c r="F1557">
        <v>303.14999999999998</v>
      </c>
      <c r="G1557">
        <v>503.6</v>
      </c>
      <c r="H1557">
        <f t="shared" si="96"/>
        <v>-4.3050655935377531</v>
      </c>
      <c r="I1557">
        <v>1.35E-2</v>
      </c>
      <c r="J1557" t="str">
        <f t="shared" si="97"/>
        <v>C[N+](C)(C)CCO.[Cl-]C(CCO)CO</v>
      </c>
      <c r="K1557">
        <v>77</v>
      </c>
      <c r="M1557">
        <f t="shared" si="98"/>
        <v>-0.72967870461249518</v>
      </c>
      <c r="N1557">
        <f t="shared" si="99"/>
        <v>-0.33970273649196403</v>
      </c>
    </row>
    <row r="1558" spans="1:14" x14ac:dyDescent="0.35">
      <c r="A1558">
        <v>1556</v>
      </c>
      <c r="B1558" t="s">
        <v>7</v>
      </c>
      <c r="C1558" t="s">
        <v>36</v>
      </c>
      <c r="D1558">
        <v>0.2</v>
      </c>
      <c r="E1558">
        <v>0.8</v>
      </c>
      <c r="F1558">
        <v>313.14999999999998</v>
      </c>
      <c r="G1558">
        <v>119.5</v>
      </c>
      <c r="H1558">
        <f t="shared" si="96"/>
        <v>-5.95</v>
      </c>
      <c r="I1558">
        <v>2.6058405184084983E-3</v>
      </c>
      <c r="J1558" t="str">
        <f t="shared" si="97"/>
        <v>C[N+](C)(C)CCO.[Cl-]C(CCO)CO</v>
      </c>
      <c r="K1558">
        <v>77</v>
      </c>
      <c r="M1558">
        <f t="shared" si="98"/>
        <v>5.4037971934950142E-2</v>
      </c>
      <c r="N1558">
        <f t="shared" si="99"/>
        <v>-0.55452429347404009</v>
      </c>
    </row>
    <row r="1559" spans="1:14" x14ac:dyDescent="0.35">
      <c r="A1559">
        <v>1557</v>
      </c>
      <c r="B1559" t="s">
        <v>7</v>
      </c>
      <c r="C1559" t="s">
        <v>36</v>
      </c>
      <c r="D1559">
        <v>0.2</v>
      </c>
      <c r="E1559">
        <v>0.8</v>
      </c>
      <c r="F1559">
        <v>313.14999999999998</v>
      </c>
      <c r="G1559">
        <v>223.2</v>
      </c>
      <c r="H1559">
        <f t="shared" si="96"/>
        <v>-5.32</v>
      </c>
      <c r="I1559">
        <v>4.8927537252394758E-3</v>
      </c>
      <c r="J1559" t="str">
        <f t="shared" si="97"/>
        <v>C[N+](C)(C)CCO.[Cl-]C(CCO)CO</v>
      </c>
      <c r="K1559">
        <v>77</v>
      </c>
      <c r="M1559">
        <f t="shared" si="98"/>
        <v>5.4037971934950142E-2</v>
      </c>
      <c r="N1559">
        <f t="shared" si="99"/>
        <v>-0.49652638808731453</v>
      </c>
    </row>
    <row r="1560" spans="1:14" x14ac:dyDescent="0.35">
      <c r="A1560">
        <v>1558</v>
      </c>
      <c r="B1560" t="s">
        <v>7</v>
      </c>
      <c r="C1560" t="s">
        <v>36</v>
      </c>
      <c r="D1560">
        <v>0.2</v>
      </c>
      <c r="E1560">
        <v>0.8</v>
      </c>
      <c r="F1560">
        <v>313.14999999999998</v>
      </c>
      <c r="G1560">
        <v>312.5</v>
      </c>
      <c r="H1560">
        <f t="shared" si="96"/>
        <v>-4.95</v>
      </c>
      <c r="I1560">
        <v>7.0834089290521185E-3</v>
      </c>
      <c r="J1560" t="str">
        <f t="shared" si="97"/>
        <v>C[N+](C)(C)CCO.[Cl-]C(CCO)CO</v>
      </c>
      <c r="K1560">
        <v>77</v>
      </c>
      <c r="M1560">
        <f t="shared" si="98"/>
        <v>5.4037971934950142E-2</v>
      </c>
      <c r="N1560">
        <f t="shared" si="99"/>
        <v>-0.44658219376682667</v>
      </c>
    </row>
    <row r="1561" spans="1:14" x14ac:dyDescent="0.35">
      <c r="A1561">
        <v>1559</v>
      </c>
      <c r="B1561" t="s">
        <v>7</v>
      </c>
      <c r="C1561" t="s">
        <v>36</v>
      </c>
      <c r="D1561">
        <v>0.2</v>
      </c>
      <c r="E1561">
        <v>0.8</v>
      </c>
      <c r="F1561">
        <v>313.14999999999998</v>
      </c>
      <c r="G1561">
        <v>410</v>
      </c>
      <c r="H1561">
        <f t="shared" si="96"/>
        <v>-4.6500000000000004</v>
      </c>
      <c r="I1561">
        <v>9.5616019305435045E-3</v>
      </c>
      <c r="J1561" t="str">
        <f t="shared" si="97"/>
        <v>C[N+](C)(C)CCO.[Cl-]C(CCO)CO</v>
      </c>
      <c r="K1561">
        <v>77</v>
      </c>
      <c r="M1561">
        <f t="shared" si="98"/>
        <v>5.4037971934950142E-2</v>
      </c>
      <c r="N1561">
        <f t="shared" si="99"/>
        <v>-0.392051858422509</v>
      </c>
    </row>
    <row r="1562" spans="1:14" x14ac:dyDescent="0.35">
      <c r="A1562">
        <v>1560</v>
      </c>
      <c r="B1562" t="s">
        <v>7</v>
      </c>
      <c r="C1562" t="s">
        <v>36</v>
      </c>
      <c r="D1562">
        <v>0.2</v>
      </c>
      <c r="E1562">
        <v>0.8</v>
      </c>
      <c r="F1562">
        <v>313.14999999999998</v>
      </c>
      <c r="G1562">
        <v>507.2</v>
      </c>
      <c r="H1562">
        <f t="shared" si="96"/>
        <v>-4.43</v>
      </c>
      <c r="I1562">
        <v>1.1914489672789647E-2</v>
      </c>
      <c r="J1562" t="str">
        <f t="shared" si="97"/>
        <v>C[N+](C)(C)CCO.[Cl-]C(CCO)CO</v>
      </c>
      <c r="K1562">
        <v>77</v>
      </c>
      <c r="M1562">
        <f t="shared" si="98"/>
        <v>5.4037971934950142E-2</v>
      </c>
      <c r="N1562">
        <f t="shared" si="99"/>
        <v>-0.33768930872540459</v>
      </c>
    </row>
    <row r="1563" spans="1:14" x14ac:dyDescent="0.35">
      <c r="A1563">
        <v>1561</v>
      </c>
      <c r="B1563" t="s">
        <v>7</v>
      </c>
      <c r="C1563" t="s">
        <v>36</v>
      </c>
      <c r="D1563">
        <v>0.2</v>
      </c>
      <c r="E1563">
        <v>0.8</v>
      </c>
      <c r="F1563">
        <v>323.14999999999998</v>
      </c>
      <c r="G1563">
        <v>123</v>
      </c>
      <c r="H1563">
        <f t="shared" si="96"/>
        <v>-6.12</v>
      </c>
      <c r="I1563">
        <v>2.1984559630425313E-3</v>
      </c>
      <c r="J1563" t="str">
        <f t="shared" si="97"/>
        <v>C[N+](C)(C)CCO.[Cl-]C(CCO)CO</v>
      </c>
      <c r="K1563">
        <v>77</v>
      </c>
      <c r="M1563">
        <f t="shared" si="98"/>
        <v>0.83775464848239545</v>
      </c>
      <c r="N1563">
        <f t="shared" si="99"/>
        <v>-0.55256679425655175</v>
      </c>
    </row>
    <row r="1564" spans="1:14" x14ac:dyDescent="0.35">
      <c r="A1564">
        <v>1562</v>
      </c>
      <c r="B1564" t="s">
        <v>7</v>
      </c>
      <c r="C1564" t="s">
        <v>36</v>
      </c>
      <c r="D1564">
        <v>0.2</v>
      </c>
      <c r="E1564">
        <v>0.8</v>
      </c>
      <c r="F1564">
        <v>323.14999999999998</v>
      </c>
      <c r="G1564">
        <v>221.6</v>
      </c>
      <c r="H1564">
        <f t="shared" si="96"/>
        <v>-5.55</v>
      </c>
      <c r="I1564">
        <v>3.8874572434761303E-3</v>
      </c>
      <c r="J1564" t="str">
        <f t="shared" si="97"/>
        <v>C[N+](C)(C)CCO.[Cl-]C(CCO)CO</v>
      </c>
      <c r="K1564">
        <v>77</v>
      </c>
      <c r="M1564">
        <f t="shared" si="98"/>
        <v>0.83775464848239545</v>
      </c>
      <c r="N1564">
        <f t="shared" si="99"/>
        <v>-0.49742124487245204</v>
      </c>
    </row>
    <row r="1565" spans="1:14" x14ac:dyDescent="0.35">
      <c r="A1565">
        <v>1563</v>
      </c>
      <c r="B1565" t="s">
        <v>7</v>
      </c>
      <c r="C1565" t="s">
        <v>36</v>
      </c>
      <c r="D1565">
        <v>0.2</v>
      </c>
      <c r="E1565">
        <v>0.8</v>
      </c>
      <c r="F1565">
        <v>323.14999999999998</v>
      </c>
      <c r="G1565">
        <v>332.6</v>
      </c>
      <c r="H1565">
        <f t="shared" si="96"/>
        <v>-5.08</v>
      </c>
      <c r="I1565">
        <v>6.2199090159425728E-3</v>
      </c>
      <c r="J1565" t="str">
        <f t="shared" si="97"/>
        <v>C[N+](C)(C)CCO.[Cl-]C(CCO)CO</v>
      </c>
      <c r="K1565">
        <v>77</v>
      </c>
      <c r="M1565">
        <f t="shared" si="98"/>
        <v>0.83775464848239545</v>
      </c>
      <c r="N1565">
        <f t="shared" si="99"/>
        <v>-0.43534055540353656</v>
      </c>
    </row>
    <row r="1566" spans="1:14" x14ac:dyDescent="0.35">
      <c r="A1566">
        <v>1564</v>
      </c>
      <c r="B1566" t="s">
        <v>7</v>
      </c>
      <c r="C1566" t="s">
        <v>36</v>
      </c>
      <c r="D1566">
        <v>0.2</v>
      </c>
      <c r="E1566">
        <v>0.8</v>
      </c>
      <c r="F1566">
        <v>323.14999999999998</v>
      </c>
      <c r="G1566">
        <v>425.3</v>
      </c>
      <c r="H1566">
        <f t="shared" si="96"/>
        <v>-4.82</v>
      </c>
      <c r="I1566">
        <v>8.0667871390996144E-3</v>
      </c>
      <c r="J1566" t="str">
        <f t="shared" si="97"/>
        <v>C[N+](C)(C)CCO.[Cl-]C(CCO)CO</v>
      </c>
      <c r="K1566">
        <v>77</v>
      </c>
      <c r="M1566">
        <f t="shared" si="98"/>
        <v>0.83775464848239545</v>
      </c>
      <c r="N1566">
        <f t="shared" si="99"/>
        <v>-0.38349479041463147</v>
      </c>
    </row>
    <row r="1567" spans="1:14" x14ac:dyDescent="0.35">
      <c r="A1567">
        <v>1565</v>
      </c>
      <c r="B1567" t="s">
        <v>7</v>
      </c>
      <c r="C1567" t="s">
        <v>36</v>
      </c>
      <c r="D1567">
        <v>0.2</v>
      </c>
      <c r="E1567">
        <v>0.8</v>
      </c>
      <c r="F1567">
        <v>323.14999999999998</v>
      </c>
      <c r="G1567">
        <v>519</v>
      </c>
      <c r="H1567">
        <f t="shared" si="96"/>
        <v>-4.59</v>
      </c>
      <c r="I1567">
        <v>1.0152858373369763E-2</v>
      </c>
      <c r="J1567" t="str">
        <f t="shared" si="97"/>
        <v>C[N+](C)(C)CCO.[Cl-]C(CCO)CO</v>
      </c>
      <c r="K1567">
        <v>77</v>
      </c>
      <c r="M1567">
        <f t="shared" si="98"/>
        <v>0.83775464848239545</v>
      </c>
      <c r="N1567">
        <f t="shared" si="99"/>
        <v>-0.33108973993501539</v>
      </c>
    </row>
    <row r="1568" spans="1:14" x14ac:dyDescent="0.35">
      <c r="A1568">
        <v>1566</v>
      </c>
      <c r="B1568" t="s">
        <v>7</v>
      </c>
      <c r="C1568" t="s">
        <v>37</v>
      </c>
      <c r="D1568">
        <v>0.2</v>
      </c>
      <c r="E1568">
        <v>0.8</v>
      </c>
      <c r="F1568">
        <v>293.14999999999998</v>
      </c>
      <c r="G1568">
        <v>107.1</v>
      </c>
      <c r="H1568">
        <f t="shared" si="96"/>
        <v>-5.57</v>
      </c>
      <c r="I1568">
        <v>3.810480432592037E-3</v>
      </c>
      <c r="J1568" t="str">
        <f t="shared" si="97"/>
        <v>C[N+](C)(C)CCO.[Cl-]CC(C(C)O)O</v>
      </c>
      <c r="K1568">
        <v>87</v>
      </c>
      <c r="M1568">
        <f t="shared" si="98"/>
        <v>-1.5133953811599403</v>
      </c>
      <c r="N1568">
        <f t="shared" si="99"/>
        <v>-0.56145943355885586</v>
      </c>
    </row>
    <row r="1569" spans="1:14" x14ac:dyDescent="0.35">
      <c r="A1569">
        <v>1567</v>
      </c>
      <c r="B1569" t="s">
        <v>7</v>
      </c>
      <c r="C1569" t="s">
        <v>37</v>
      </c>
      <c r="D1569">
        <v>0.2</v>
      </c>
      <c r="E1569">
        <v>0.8</v>
      </c>
      <c r="F1569">
        <v>293.14999999999998</v>
      </c>
      <c r="G1569">
        <v>207.2</v>
      </c>
      <c r="H1569">
        <f t="shared" si="96"/>
        <v>-4.95</v>
      </c>
      <c r="I1569">
        <v>7.0834089290521185E-3</v>
      </c>
      <c r="J1569" t="str">
        <f t="shared" si="97"/>
        <v>C[N+](C)(C)CCO.[Cl-]CC(C(C)O)O</v>
      </c>
      <c r="K1569">
        <v>87</v>
      </c>
      <c r="M1569">
        <f t="shared" si="98"/>
        <v>-1.5133953811599403</v>
      </c>
      <c r="N1569">
        <f t="shared" si="99"/>
        <v>-0.50547495593868974</v>
      </c>
    </row>
    <row r="1570" spans="1:14" x14ac:dyDescent="0.35">
      <c r="A1570">
        <v>1568</v>
      </c>
      <c r="B1570" t="s">
        <v>7</v>
      </c>
      <c r="C1570" t="s">
        <v>37</v>
      </c>
      <c r="D1570">
        <v>0.2</v>
      </c>
      <c r="E1570">
        <v>0.8</v>
      </c>
      <c r="F1570">
        <v>293.14999999999998</v>
      </c>
      <c r="G1570">
        <v>309.7</v>
      </c>
      <c r="H1570">
        <f t="shared" si="96"/>
        <v>-4.5199999999999996</v>
      </c>
      <c r="I1570">
        <v>1.0889023668554451E-2</v>
      </c>
      <c r="J1570" t="str">
        <f t="shared" si="97"/>
        <v>C[N+](C)(C)CCO.[Cl-]CC(C(C)O)O</v>
      </c>
      <c r="K1570">
        <v>87</v>
      </c>
      <c r="M1570">
        <f t="shared" si="98"/>
        <v>-1.5133953811599403</v>
      </c>
      <c r="N1570">
        <f t="shared" si="99"/>
        <v>-0.44814819314081733</v>
      </c>
    </row>
    <row r="1571" spans="1:14" x14ac:dyDescent="0.35">
      <c r="A1571">
        <v>1569</v>
      </c>
      <c r="B1571" t="s">
        <v>7</v>
      </c>
      <c r="C1571" t="s">
        <v>37</v>
      </c>
      <c r="D1571">
        <v>0.2</v>
      </c>
      <c r="E1571">
        <v>0.8</v>
      </c>
      <c r="F1571">
        <v>293.14999999999998</v>
      </c>
      <c r="G1571">
        <v>403</v>
      </c>
      <c r="H1571">
        <f t="shared" si="96"/>
        <v>-4.21</v>
      </c>
      <c r="I1571">
        <v>1.4846368338086832E-2</v>
      </c>
      <c r="J1571" t="str">
        <f t="shared" si="97"/>
        <v>C[N+](C)(C)CCO.[Cl-]CC(C(C)O)O</v>
      </c>
      <c r="K1571">
        <v>87</v>
      </c>
      <c r="M1571">
        <f t="shared" si="98"/>
        <v>-1.5133953811599403</v>
      </c>
      <c r="N1571">
        <f t="shared" si="99"/>
        <v>-0.39596685685748567</v>
      </c>
    </row>
    <row r="1572" spans="1:14" x14ac:dyDescent="0.35">
      <c r="A1572">
        <v>1570</v>
      </c>
      <c r="B1572" t="s">
        <v>7</v>
      </c>
      <c r="C1572" t="s">
        <v>37</v>
      </c>
      <c r="D1572">
        <v>0.2</v>
      </c>
      <c r="E1572">
        <v>0.8</v>
      </c>
      <c r="F1572">
        <v>293.14999999999998</v>
      </c>
      <c r="G1572">
        <v>508.5</v>
      </c>
      <c r="H1572">
        <f t="shared" si="96"/>
        <v>-3.9738984091462335</v>
      </c>
      <c r="I1572">
        <v>1.8800000000000001E-2</v>
      </c>
      <c r="J1572" t="str">
        <f t="shared" si="97"/>
        <v>C[N+](C)(C)CCO.[Cl-]CC(C(C)O)O</v>
      </c>
      <c r="K1572">
        <v>87</v>
      </c>
      <c r="M1572">
        <f t="shared" si="98"/>
        <v>-1.5133953811599403</v>
      </c>
      <c r="N1572">
        <f t="shared" si="99"/>
        <v>-0.3369622375874804</v>
      </c>
    </row>
    <row r="1573" spans="1:14" x14ac:dyDescent="0.35">
      <c r="A1573">
        <v>1571</v>
      </c>
      <c r="B1573" t="s">
        <v>7</v>
      </c>
      <c r="C1573" t="s">
        <v>37</v>
      </c>
      <c r="D1573">
        <v>0.2</v>
      </c>
      <c r="E1573">
        <v>0.8</v>
      </c>
      <c r="F1573">
        <v>303.14999999999998</v>
      </c>
      <c r="G1573">
        <v>117.6</v>
      </c>
      <c r="H1573">
        <f t="shared" si="96"/>
        <v>-5.66</v>
      </c>
      <c r="I1573">
        <v>3.4825168982116632E-3</v>
      </c>
      <c r="J1573" t="str">
        <f t="shared" si="97"/>
        <v>C[N+](C)(C)CCO.[Cl-]CC(C(C)O)O</v>
      </c>
      <c r="K1573">
        <v>87</v>
      </c>
      <c r="M1573">
        <f t="shared" si="98"/>
        <v>-0.72967870461249518</v>
      </c>
      <c r="N1573">
        <f t="shared" si="99"/>
        <v>-0.55558693590639097</v>
      </c>
    </row>
    <row r="1574" spans="1:14" x14ac:dyDescent="0.35">
      <c r="A1574">
        <v>1572</v>
      </c>
      <c r="B1574" t="s">
        <v>7</v>
      </c>
      <c r="C1574" t="s">
        <v>37</v>
      </c>
      <c r="D1574">
        <v>0.2</v>
      </c>
      <c r="E1574">
        <v>0.8</v>
      </c>
      <c r="F1574">
        <v>303.14999999999998</v>
      </c>
      <c r="G1574">
        <v>218.7</v>
      </c>
      <c r="H1574">
        <f t="shared" si="96"/>
        <v>-4.99</v>
      </c>
      <c r="I1574">
        <v>6.8056644922305431E-3</v>
      </c>
      <c r="J1574" t="str">
        <f t="shared" si="97"/>
        <v>C[N+](C)(C)CCO.[Cl-]CC(C(C)O)O</v>
      </c>
      <c r="K1574">
        <v>87</v>
      </c>
      <c r="M1574">
        <f t="shared" si="98"/>
        <v>-0.72967870461249518</v>
      </c>
      <c r="N1574">
        <f t="shared" si="99"/>
        <v>-0.4990431727955138</v>
      </c>
    </row>
    <row r="1575" spans="1:14" x14ac:dyDescent="0.35">
      <c r="A1575">
        <v>1573</v>
      </c>
      <c r="B1575" t="s">
        <v>7</v>
      </c>
      <c r="C1575" t="s">
        <v>37</v>
      </c>
      <c r="D1575">
        <v>0.2</v>
      </c>
      <c r="E1575">
        <v>0.8</v>
      </c>
      <c r="F1575">
        <v>303.14999999999998</v>
      </c>
      <c r="G1575">
        <v>320.10000000000002</v>
      </c>
      <c r="H1575">
        <f t="shared" si="96"/>
        <v>-4.59</v>
      </c>
      <c r="I1575">
        <v>1.0152858373369763E-2</v>
      </c>
      <c r="J1575" t="str">
        <f t="shared" si="97"/>
        <v>C[N+](C)(C)CCO.[Cl-]CC(C(C)O)O</v>
      </c>
      <c r="K1575">
        <v>87</v>
      </c>
      <c r="M1575">
        <f t="shared" si="98"/>
        <v>-0.72967870461249518</v>
      </c>
      <c r="N1575">
        <f t="shared" si="99"/>
        <v>-0.44233162403742343</v>
      </c>
    </row>
    <row r="1576" spans="1:14" x14ac:dyDescent="0.35">
      <c r="A1576">
        <v>1574</v>
      </c>
      <c r="B1576" t="s">
        <v>7</v>
      </c>
      <c r="C1576" t="s">
        <v>37</v>
      </c>
      <c r="D1576">
        <v>0.2</v>
      </c>
      <c r="E1576">
        <v>0.8</v>
      </c>
      <c r="F1576">
        <v>303.14999999999998</v>
      </c>
      <c r="G1576">
        <v>409.2</v>
      </c>
      <c r="H1576">
        <f t="shared" si="96"/>
        <v>-4.3099999999999996</v>
      </c>
      <c r="I1576">
        <v>1.3433549594245314E-2</v>
      </c>
      <c r="J1576" t="str">
        <f t="shared" si="97"/>
        <v>C[N+](C)(C)CCO.[Cl-]CC(C(C)O)O</v>
      </c>
      <c r="K1576">
        <v>87</v>
      </c>
      <c r="M1576">
        <f t="shared" si="98"/>
        <v>-0.72967870461249518</v>
      </c>
      <c r="N1576">
        <f t="shared" si="99"/>
        <v>-0.39249928681507773</v>
      </c>
    </row>
    <row r="1577" spans="1:14" x14ac:dyDescent="0.35">
      <c r="A1577">
        <v>1575</v>
      </c>
      <c r="B1577" t="s">
        <v>7</v>
      </c>
      <c r="C1577" t="s">
        <v>37</v>
      </c>
      <c r="D1577">
        <v>0.2</v>
      </c>
      <c r="E1577">
        <v>0.8</v>
      </c>
      <c r="F1577">
        <v>303.14999999999998</v>
      </c>
      <c r="G1577">
        <v>511.2</v>
      </c>
      <c r="H1577">
        <f t="shared" si="96"/>
        <v>-4.09</v>
      </c>
      <c r="I1577">
        <v>1.6739233558580632E-2</v>
      </c>
      <c r="J1577" t="str">
        <f t="shared" si="97"/>
        <v>C[N+](C)(C)CCO.[Cl-]CC(C(C)O)O</v>
      </c>
      <c r="K1577">
        <v>87</v>
      </c>
      <c r="M1577">
        <f t="shared" si="98"/>
        <v>-0.72967870461249518</v>
      </c>
      <c r="N1577">
        <f t="shared" si="99"/>
        <v>-0.33545216676256079</v>
      </c>
    </row>
    <row r="1578" spans="1:14" x14ac:dyDescent="0.35">
      <c r="A1578">
        <v>1576</v>
      </c>
      <c r="B1578" t="s">
        <v>7</v>
      </c>
      <c r="C1578" t="s">
        <v>37</v>
      </c>
      <c r="D1578">
        <v>0.2</v>
      </c>
      <c r="E1578">
        <v>0.8</v>
      </c>
      <c r="F1578">
        <v>313.14999999999998</v>
      </c>
      <c r="G1578">
        <v>110.9</v>
      </c>
      <c r="H1578">
        <f t="shared" si="96"/>
        <v>-5.81</v>
      </c>
      <c r="I1578">
        <v>2.9974300723258312E-3</v>
      </c>
      <c r="J1578" t="str">
        <f t="shared" si="97"/>
        <v>C[N+](C)(C)CCO.[Cl-]CC(C(C)O)O</v>
      </c>
      <c r="K1578">
        <v>87</v>
      </c>
      <c r="M1578">
        <f t="shared" si="98"/>
        <v>5.4037971934950142E-2</v>
      </c>
      <c r="N1578">
        <f t="shared" si="99"/>
        <v>-0.55933414869415432</v>
      </c>
    </row>
    <row r="1579" spans="1:14" x14ac:dyDescent="0.35">
      <c r="A1579">
        <v>1577</v>
      </c>
      <c r="B1579" t="s">
        <v>7</v>
      </c>
      <c r="C1579" t="s">
        <v>37</v>
      </c>
      <c r="D1579">
        <v>0.2</v>
      </c>
      <c r="E1579">
        <v>0.8</v>
      </c>
      <c r="F1579">
        <v>313.14999999999998</v>
      </c>
      <c r="G1579">
        <v>217.2</v>
      </c>
      <c r="H1579">
        <f t="shared" si="96"/>
        <v>-5.0999999999999996</v>
      </c>
      <c r="I1579">
        <v>6.0967465655156379E-3</v>
      </c>
      <c r="J1579" t="str">
        <f t="shared" si="97"/>
        <v>C[N+](C)(C)CCO.[Cl-]CC(C(C)O)O</v>
      </c>
      <c r="K1579">
        <v>87</v>
      </c>
      <c r="M1579">
        <f t="shared" si="98"/>
        <v>5.4037971934950142E-2</v>
      </c>
      <c r="N1579">
        <f t="shared" si="99"/>
        <v>-0.49988210103158026</v>
      </c>
    </row>
    <row r="1580" spans="1:14" x14ac:dyDescent="0.35">
      <c r="A1580">
        <v>1578</v>
      </c>
      <c r="B1580" t="s">
        <v>7</v>
      </c>
      <c r="C1580" t="s">
        <v>37</v>
      </c>
      <c r="D1580">
        <v>0.2</v>
      </c>
      <c r="E1580">
        <v>0.8</v>
      </c>
      <c r="F1580">
        <v>313.14999999999998</v>
      </c>
      <c r="G1580">
        <v>318</v>
      </c>
      <c r="H1580">
        <f t="shared" si="96"/>
        <v>-4.74</v>
      </c>
      <c r="I1580">
        <v>8.7386461854732905E-3</v>
      </c>
      <c r="J1580" t="str">
        <f t="shared" si="97"/>
        <v>C[N+](C)(C)CCO.[Cl-]CC(C(C)O)O</v>
      </c>
      <c r="K1580">
        <v>87</v>
      </c>
      <c r="M1580">
        <f t="shared" si="98"/>
        <v>5.4037971934950142E-2</v>
      </c>
      <c r="N1580">
        <f t="shared" si="99"/>
        <v>-0.44350612356791647</v>
      </c>
    </row>
    <row r="1581" spans="1:14" x14ac:dyDescent="0.35">
      <c r="A1581">
        <v>1579</v>
      </c>
      <c r="B1581" t="s">
        <v>7</v>
      </c>
      <c r="C1581" t="s">
        <v>37</v>
      </c>
      <c r="D1581">
        <v>0.2</v>
      </c>
      <c r="E1581">
        <v>0.8</v>
      </c>
      <c r="F1581">
        <v>313.14999999999998</v>
      </c>
      <c r="G1581">
        <v>414.9</v>
      </c>
      <c r="H1581">
        <f t="shared" si="96"/>
        <v>-4.4400000000000004</v>
      </c>
      <c r="I1581">
        <v>1.1795938519751562E-2</v>
      </c>
      <c r="J1581" t="str">
        <f t="shared" si="97"/>
        <v>C[N+](C)(C)CCO.[Cl-]CC(C(C)O)O</v>
      </c>
      <c r="K1581">
        <v>87</v>
      </c>
      <c r="M1581">
        <f t="shared" si="98"/>
        <v>5.4037971934950142E-2</v>
      </c>
      <c r="N1581">
        <f t="shared" si="99"/>
        <v>-0.38931135951802537</v>
      </c>
    </row>
    <row r="1582" spans="1:14" x14ac:dyDescent="0.35">
      <c r="A1582">
        <v>1580</v>
      </c>
      <c r="B1582" t="s">
        <v>7</v>
      </c>
      <c r="C1582" t="s">
        <v>37</v>
      </c>
      <c r="D1582">
        <v>0.2</v>
      </c>
      <c r="E1582">
        <v>0.8</v>
      </c>
      <c r="F1582">
        <v>313.14999999999998</v>
      </c>
      <c r="G1582">
        <v>511</v>
      </c>
      <c r="H1582">
        <f t="shared" si="96"/>
        <v>-4.2336066295556085</v>
      </c>
      <c r="I1582">
        <v>1.4500000000000001E-2</v>
      </c>
      <c r="J1582" t="str">
        <f t="shared" si="97"/>
        <v>C[N+](C)(C)CCO.[Cl-]CC(C(C)O)O</v>
      </c>
      <c r="K1582">
        <v>87</v>
      </c>
      <c r="M1582">
        <f t="shared" si="98"/>
        <v>5.4037971934950142E-2</v>
      </c>
      <c r="N1582">
        <f t="shared" si="99"/>
        <v>-0.335564023860703</v>
      </c>
    </row>
    <row r="1583" spans="1:14" x14ac:dyDescent="0.35">
      <c r="A1583">
        <v>1581</v>
      </c>
      <c r="B1583" t="s">
        <v>7</v>
      </c>
      <c r="C1583" t="s">
        <v>37</v>
      </c>
      <c r="D1583">
        <v>0.2</v>
      </c>
      <c r="E1583">
        <v>0.8</v>
      </c>
      <c r="F1583">
        <v>323.14999999999998</v>
      </c>
      <c r="G1583">
        <v>116.4</v>
      </c>
      <c r="H1583">
        <f t="shared" si="96"/>
        <v>-5.81</v>
      </c>
      <c r="I1583">
        <v>2.9974300723258312E-3</v>
      </c>
      <c r="J1583" t="str">
        <f t="shared" si="97"/>
        <v>C[N+](C)(C)CCO.[Cl-]CC(C(C)O)O</v>
      </c>
      <c r="K1583">
        <v>87</v>
      </c>
      <c r="M1583">
        <f t="shared" si="98"/>
        <v>0.83775464848239545</v>
      </c>
      <c r="N1583">
        <f t="shared" si="99"/>
        <v>-0.55625807849524411</v>
      </c>
    </row>
    <row r="1584" spans="1:14" x14ac:dyDescent="0.35">
      <c r="A1584">
        <v>1582</v>
      </c>
      <c r="B1584" t="s">
        <v>7</v>
      </c>
      <c r="C1584" t="s">
        <v>37</v>
      </c>
      <c r="D1584">
        <v>0.2</v>
      </c>
      <c r="E1584">
        <v>0.8</v>
      </c>
      <c r="F1584">
        <v>323.14999999999998</v>
      </c>
      <c r="G1584">
        <v>214.1</v>
      </c>
      <c r="H1584">
        <f t="shared" si="96"/>
        <v>-5.26</v>
      </c>
      <c r="I1584">
        <v>5.1953047187052312E-3</v>
      </c>
      <c r="J1584" t="str">
        <f t="shared" si="97"/>
        <v>C[N+](C)(C)CCO.[Cl-]CC(C(C)O)O</v>
      </c>
      <c r="K1584">
        <v>87</v>
      </c>
      <c r="M1584">
        <f t="shared" si="98"/>
        <v>0.83775464848239545</v>
      </c>
      <c r="N1584">
        <f t="shared" si="99"/>
        <v>-0.50161588605278418</v>
      </c>
    </row>
    <row r="1585" spans="1:14" x14ac:dyDescent="0.35">
      <c r="A1585">
        <v>1583</v>
      </c>
      <c r="B1585" t="s">
        <v>7</v>
      </c>
      <c r="C1585" t="s">
        <v>37</v>
      </c>
      <c r="D1585">
        <v>0.2</v>
      </c>
      <c r="E1585">
        <v>0.8</v>
      </c>
      <c r="F1585">
        <v>323.14999999999998</v>
      </c>
      <c r="G1585">
        <v>315.89999999999998</v>
      </c>
      <c r="H1585">
        <f t="shared" si="96"/>
        <v>-4.8499999999999996</v>
      </c>
      <c r="I1585">
        <v>7.8283775492257734E-3</v>
      </c>
      <c r="J1585" t="str">
        <f t="shared" si="97"/>
        <v>C[N+](C)(C)CCO.[Cl-]CC(C(C)O)O</v>
      </c>
      <c r="K1585">
        <v>87</v>
      </c>
      <c r="M1585">
        <f t="shared" si="98"/>
        <v>0.83775464848239545</v>
      </c>
      <c r="N1585">
        <f t="shared" si="99"/>
        <v>-0.44468062309840944</v>
      </c>
    </row>
    <row r="1586" spans="1:14" x14ac:dyDescent="0.35">
      <c r="A1586">
        <v>1584</v>
      </c>
      <c r="B1586" t="s">
        <v>7</v>
      </c>
      <c r="C1586" t="s">
        <v>37</v>
      </c>
      <c r="D1586">
        <v>0.2</v>
      </c>
      <c r="E1586">
        <v>0.8</v>
      </c>
      <c r="F1586">
        <v>323.14999999999998</v>
      </c>
      <c r="G1586">
        <v>425.7</v>
      </c>
      <c r="H1586">
        <f t="shared" si="96"/>
        <v>-4.55</v>
      </c>
      <c r="I1586">
        <v>1.0567204383852655E-2</v>
      </c>
      <c r="J1586" t="str">
        <f t="shared" si="97"/>
        <v>C[N+](C)(C)CCO.[Cl-]CC(C(C)O)O</v>
      </c>
      <c r="K1586">
        <v>87</v>
      </c>
      <c r="M1586">
        <f t="shared" si="98"/>
        <v>0.83775464848239545</v>
      </c>
      <c r="N1586">
        <f t="shared" si="99"/>
        <v>-0.38327107621834705</v>
      </c>
    </row>
    <row r="1587" spans="1:14" x14ac:dyDescent="0.35">
      <c r="A1587">
        <v>1585</v>
      </c>
      <c r="B1587" t="s">
        <v>7</v>
      </c>
      <c r="C1587" t="s">
        <v>37</v>
      </c>
      <c r="D1587">
        <v>0.2</v>
      </c>
      <c r="E1587">
        <v>0.8</v>
      </c>
      <c r="F1587">
        <v>323.14999999999998</v>
      </c>
      <c r="G1587">
        <v>512.5</v>
      </c>
      <c r="H1587">
        <f t="shared" si="96"/>
        <v>-4.34</v>
      </c>
      <c r="I1587">
        <v>1.3036528203437736E-2</v>
      </c>
      <c r="J1587" t="str">
        <f t="shared" si="97"/>
        <v>C[N+](C)(C)CCO.[Cl-]CC(C(C)O)O</v>
      </c>
      <c r="K1587">
        <v>87</v>
      </c>
      <c r="M1587">
        <f t="shared" si="98"/>
        <v>0.83775464848239545</v>
      </c>
      <c r="N1587">
        <f t="shared" si="99"/>
        <v>-0.33472509562463659</v>
      </c>
    </row>
    <row r="1588" spans="1:14" x14ac:dyDescent="0.35">
      <c r="A1588">
        <v>1586</v>
      </c>
      <c r="B1588" t="s">
        <v>7</v>
      </c>
      <c r="C1588" t="s">
        <v>35</v>
      </c>
      <c r="D1588">
        <v>0.2</v>
      </c>
      <c r="E1588">
        <v>0.8</v>
      </c>
      <c r="F1588">
        <v>293.14999999999998</v>
      </c>
      <c r="G1588">
        <v>104.4</v>
      </c>
      <c r="H1588">
        <f t="shared" si="96"/>
        <v>-5.78</v>
      </c>
      <c r="I1588">
        <v>3.0887154082367687E-3</v>
      </c>
      <c r="J1588" t="str">
        <f t="shared" si="97"/>
        <v>C[N+](C)(C)CCO.[Cl-]CC(CO)O</v>
      </c>
      <c r="K1588">
        <v>88</v>
      </c>
      <c r="M1588">
        <f t="shared" si="98"/>
        <v>-1.5133953811599403</v>
      </c>
      <c r="N1588">
        <f t="shared" si="99"/>
        <v>-0.56296950438377547</v>
      </c>
    </row>
    <row r="1589" spans="1:14" x14ac:dyDescent="0.35">
      <c r="A1589">
        <v>1587</v>
      </c>
      <c r="B1589" t="s">
        <v>7</v>
      </c>
      <c r="C1589" t="s">
        <v>35</v>
      </c>
      <c r="D1589">
        <v>0.2</v>
      </c>
      <c r="E1589">
        <v>0.8</v>
      </c>
      <c r="F1589">
        <v>293.14999999999998</v>
      </c>
      <c r="G1589">
        <v>209.6</v>
      </c>
      <c r="H1589">
        <f t="shared" si="96"/>
        <v>-5.05</v>
      </c>
      <c r="I1589">
        <v>6.4093334462563831E-3</v>
      </c>
      <c r="J1589" t="str">
        <f t="shared" si="97"/>
        <v>C[N+](C)(C)CCO.[Cl-]CC(CO)O</v>
      </c>
      <c r="K1589">
        <v>88</v>
      </c>
      <c r="M1589">
        <f t="shared" si="98"/>
        <v>-1.5133953811599403</v>
      </c>
      <c r="N1589">
        <f t="shared" si="99"/>
        <v>-0.50413267076098345</v>
      </c>
    </row>
    <row r="1590" spans="1:14" x14ac:dyDescent="0.35">
      <c r="A1590">
        <v>1588</v>
      </c>
      <c r="B1590" t="s">
        <v>7</v>
      </c>
      <c r="C1590" t="s">
        <v>35</v>
      </c>
      <c r="D1590">
        <v>0.2</v>
      </c>
      <c r="E1590">
        <v>0.8</v>
      </c>
      <c r="F1590">
        <v>293.14999999999998</v>
      </c>
      <c r="G1590">
        <v>307.60000000000002</v>
      </c>
      <c r="H1590">
        <f t="shared" si="96"/>
        <v>-4.67</v>
      </c>
      <c r="I1590">
        <v>9.3722695270060576E-3</v>
      </c>
      <c r="J1590" t="str">
        <f t="shared" si="97"/>
        <v>C[N+](C)(C)CCO.[Cl-]CC(CO)O</v>
      </c>
      <c r="K1590">
        <v>88</v>
      </c>
      <c r="M1590">
        <f t="shared" si="98"/>
        <v>-1.5133953811599403</v>
      </c>
      <c r="N1590">
        <f t="shared" si="99"/>
        <v>-0.44932269267131031</v>
      </c>
    </row>
    <row r="1591" spans="1:14" x14ac:dyDescent="0.35">
      <c r="A1591">
        <v>1589</v>
      </c>
      <c r="B1591" t="s">
        <v>7</v>
      </c>
      <c r="C1591" t="s">
        <v>35</v>
      </c>
      <c r="D1591">
        <v>0.2</v>
      </c>
      <c r="E1591">
        <v>0.8</v>
      </c>
      <c r="F1591">
        <v>293.14999999999998</v>
      </c>
      <c r="G1591">
        <v>401.1</v>
      </c>
      <c r="H1591">
        <f t="shared" si="96"/>
        <v>-4.37</v>
      </c>
      <c r="I1591">
        <v>1.2651240568005305E-2</v>
      </c>
      <c r="J1591" t="str">
        <f t="shared" si="97"/>
        <v>C[N+](C)(C)CCO.[Cl-]CC(CO)O</v>
      </c>
      <c r="K1591">
        <v>88</v>
      </c>
      <c r="M1591">
        <f t="shared" si="98"/>
        <v>-1.5133953811599403</v>
      </c>
      <c r="N1591">
        <f t="shared" si="99"/>
        <v>-0.39702949928983644</v>
      </c>
    </row>
    <row r="1592" spans="1:14" x14ac:dyDescent="0.35">
      <c r="A1592">
        <v>1590</v>
      </c>
      <c r="B1592" t="s">
        <v>7</v>
      </c>
      <c r="C1592" t="s">
        <v>35</v>
      </c>
      <c r="D1592">
        <v>0.2</v>
      </c>
      <c r="E1592">
        <v>0.8</v>
      </c>
      <c r="F1592">
        <v>293.14999999999998</v>
      </c>
      <c r="G1592">
        <v>501.5</v>
      </c>
      <c r="H1592">
        <f t="shared" si="96"/>
        <v>-4.1043948980756024</v>
      </c>
      <c r="I1592">
        <v>1.6500000000000001E-2</v>
      </c>
      <c r="J1592" t="str">
        <f t="shared" si="97"/>
        <v>C[N+](C)(C)CCO.[Cl-]CC(CO)O</v>
      </c>
      <c r="K1592">
        <v>88</v>
      </c>
      <c r="M1592">
        <f t="shared" si="98"/>
        <v>-1.5133953811599403</v>
      </c>
      <c r="N1592">
        <f t="shared" si="99"/>
        <v>-0.34087723602245701</v>
      </c>
    </row>
    <row r="1593" spans="1:14" x14ac:dyDescent="0.35">
      <c r="A1593">
        <v>1591</v>
      </c>
      <c r="B1593" t="s">
        <v>7</v>
      </c>
      <c r="C1593" t="s">
        <v>35</v>
      </c>
      <c r="D1593">
        <v>0.2</v>
      </c>
      <c r="E1593">
        <v>0.8</v>
      </c>
      <c r="F1593">
        <v>303.14999999999998</v>
      </c>
      <c r="G1593">
        <v>117.2</v>
      </c>
      <c r="H1593">
        <f t="shared" si="96"/>
        <v>-5.91</v>
      </c>
      <c r="I1593">
        <v>2.7121868873866434E-3</v>
      </c>
      <c r="J1593" t="str">
        <f t="shared" si="97"/>
        <v>C[N+](C)(C)CCO.[Cl-]CC(CO)O</v>
      </c>
      <c r="K1593">
        <v>88</v>
      </c>
      <c r="M1593">
        <f t="shared" si="98"/>
        <v>-0.72967870461249518</v>
      </c>
      <c r="N1593">
        <f t="shared" si="99"/>
        <v>-0.55581065010267527</v>
      </c>
    </row>
    <row r="1594" spans="1:14" x14ac:dyDescent="0.35">
      <c r="A1594">
        <v>1592</v>
      </c>
      <c r="B1594" t="s">
        <v>7</v>
      </c>
      <c r="C1594" t="s">
        <v>35</v>
      </c>
      <c r="D1594">
        <v>0.2</v>
      </c>
      <c r="E1594">
        <v>0.8</v>
      </c>
      <c r="F1594">
        <v>303.14999999999998</v>
      </c>
      <c r="G1594">
        <v>220.1</v>
      </c>
      <c r="H1594">
        <f t="shared" si="96"/>
        <v>-5.3</v>
      </c>
      <c r="I1594">
        <v>4.991593906910217E-3</v>
      </c>
      <c r="J1594" t="str">
        <f t="shared" si="97"/>
        <v>C[N+](C)(C)CCO.[Cl-]CC(CO)O</v>
      </c>
      <c r="K1594">
        <v>88</v>
      </c>
      <c r="M1594">
        <f t="shared" si="98"/>
        <v>-0.72967870461249518</v>
      </c>
      <c r="N1594">
        <f t="shared" si="99"/>
        <v>-0.4982601731085185</v>
      </c>
    </row>
    <row r="1595" spans="1:14" x14ac:dyDescent="0.35">
      <c r="A1595">
        <v>1593</v>
      </c>
      <c r="B1595" t="s">
        <v>7</v>
      </c>
      <c r="C1595" t="s">
        <v>35</v>
      </c>
      <c r="D1595">
        <v>0.2</v>
      </c>
      <c r="E1595">
        <v>0.8</v>
      </c>
      <c r="F1595">
        <v>303.14999999999998</v>
      </c>
      <c r="G1595">
        <v>321.7</v>
      </c>
      <c r="H1595">
        <f t="shared" si="96"/>
        <v>-4.8899999999999997</v>
      </c>
      <c r="I1595">
        <v>7.5214224749932702E-3</v>
      </c>
      <c r="J1595" t="str">
        <f t="shared" si="97"/>
        <v>C[N+](C)(C)CCO.[Cl-]CC(CO)O</v>
      </c>
      <c r="K1595">
        <v>88</v>
      </c>
      <c r="M1595">
        <f t="shared" si="98"/>
        <v>-0.72967870461249518</v>
      </c>
      <c r="N1595">
        <f t="shared" si="99"/>
        <v>-0.44143676725228592</v>
      </c>
    </row>
    <row r="1596" spans="1:14" x14ac:dyDescent="0.35">
      <c r="A1596">
        <v>1594</v>
      </c>
      <c r="B1596" t="s">
        <v>7</v>
      </c>
      <c r="C1596" t="s">
        <v>35</v>
      </c>
      <c r="D1596">
        <v>0.2</v>
      </c>
      <c r="E1596">
        <v>0.8</v>
      </c>
      <c r="F1596">
        <v>303.14999999999998</v>
      </c>
      <c r="G1596">
        <v>415.6</v>
      </c>
      <c r="H1596">
        <f t="shared" si="96"/>
        <v>-4.5999999999999996</v>
      </c>
      <c r="I1596">
        <v>1.0051835744633586E-2</v>
      </c>
      <c r="J1596" t="str">
        <f t="shared" si="97"/>
        <v>C[N+](C)(C)CCO.[Cl-]CC(CO)O</v>
      </c>
      <c r="K1596">
        <v>88</v>
      </c>
      <c r="M1596">
        <f t="shared" si="98"/>
        <v>-0.72967870461249518</v>
      </c>
      <c r="N1596">
        <f t="shared" si="99"/>
        <v>-0.38891985967452769</v>
      </c>
    </row>
    <row r="1597" spans="1:14" x14ac:dyDescent="0.35">
      <c r="A1597">
        <v>1595</v>
      </c>
      <c r="B1597" t="s">
        <v>7</v>
      </c>
      <c r="C1597" t="s">
        <v>35</v>
      </c>
      <c r="D1597">
        <v>0.2</v>
      </c>
      <c r="E1597">
        <v>0.8</v>
      </c>
      <c r="F1597">
        <v>303.14999999999998</v>
      </c>
      <c r="G1597">
        <v>517.5</v>
      </c>
      <c r="H1597">
        <f t="shared" si="96"/>
        <v>-4.3499999999999996</v>
      </c>
      <c r="I1597">
        <v>1.2906812580479873E-2</v>
      </c>
      <c r="J1597" t="str">
        <f t="shared" si="97"/>
        <v>C[N+](C)(C)CCO.[Cl-]CC(CO)O</v>
      </c>
      <c r="K1597">
        <v>88</v>
      </c>
      <c r="M1597">
        <f t="shared" si="98"/>
        <v>-0.72967870461249518</v>
      </c>
      <c r="N1597">
        <f t="shared" si="99"/>
        <v>-0.3319286681710818</v>
      </c>
    </row>
    <row r="1598" spans="1:14" x14ac:dyDescent="0.35">
      <c r="A1598">
        <v>1596</v>
      </c>
      <c r="B1598" t="s">
        <v>7</v>
      </c>
      <c r="C1598" t="s">
        <v>35</v>
      </c>
      <c r="D1598">
        <v>0.2</v>
      </c>
      <c r="E1598">
        <v>0.8</v>
      </c>
      <c r="F1598">
        <v>313.14999999999998</v>
      </c>
      <c r="G1598">
        <v>121.6</v>
      </c>
      <c r="H1598">
        <f t="shared" si="96"/>
        <v>-6.17</v>
      </c>
      <c r="I1598">
        <v>2.0912360005151103E-3</v>
      </c>
      <c r="J1598" t="str">
        <f t="shared" si="97"/>
        <v>C[N+](C)(C)CCO.[Cl-]CC(CO)O</v>
      </c>
      <c r="K1598">
        <v>88</v>
      </c>
      <c r="M1598">
        <f t="shared" si="98"/>
        <v>5.4037971934950142E-2</v>
      </c>
      <c r="N1598">
        <f t="shared" si="99"/>
        <v>-0.55334979394354711</v>
      </c>
    </row>
    <row r="1599" spans="1:14" x14ac:dyDescent="0.35">
      <c r="A1599">
        <v>1597</v>
      </c>
      <c r="B1599" t="s">
        <v>7</v>
      </c>
      <c r="C1599" t="s">
        <v>35</v>
      </c>
      <c r="D1599">
        <v>0.2</v>
      </c>
      <c r="E1599">
        <v>0.8</v>
      </c>
      <c r="F1599">
        <v>313.14999999999998</v>
      </c>
      <c r="G1599">
        <v>225.2</v>
      </c>
      <c r="H1599">
        <f t="shared" si="96"/>
        <v>-5.45</v>
      </c>
      <c r="I1599">
        <v>4.2963046907523398E-3</v>
      </c>
      <c r="J1599" t="str">
        <f t="shared" si="97"/>
        <v>C[N+](C)(C)CCO.[Cl-]CC(CO)O</v>
      </c>
      <c r="K1599">
        <v>88</v>
      </c>
      <c r="M1599">
        <f t="shared" si="98"/>
        <v>5.4037971934950142E-2</v>
      </c>
      <c r="N1599">
        <f t="shared" si="99"/>
        <v>-0.49540781710589266</v>
      </c>
    </row>
    <row r="1600" spans="1:14" x14ac:dyDescent="0.35">
      <c r="A1600">
        <v>1598</v>
      </c>
      <c r="B1600" t="s">
        <v>7</v>
      </c>
      <c r="C1600" t="s">
        <v>35</v>
      </c>
      <c r="D1600">
        <v>0.2</v>
      </c>
      <c r="E1600">
        <v>0.8</v>
      </c>
      <c r="F1600">
        <v>313.14999999999998</v>
      </c>
      <c r="G1600">
        <v>325.10000000000002</v>
      </c>
      <c r="H1600">
        <f t="shared" si="96"/>
        <v>-5.12</v>
      </c>
      <c r="I1600">
        <v>5.9760228950059427E-3</v>
      </c>
      <c r="J1600" t="str">
        <f t="shared" si="97"/>
        <v>C[N+](C)(C)CCO.[Cl-]CC(CO)O</v>
      </c>
      <c r="K1600">
        <v>88</v>
      </c>
      <c r="M1600">
        <f t="shared" si="98"/>
        <v>5.4037971934950142E-2</v>
      </c>
      <c r="N1600">
        <f t="shared" si="99"/>
        <v>-0.43953519658386869</v>
      </c>
    </row>
    <row r="1601" spans="1:14" x14ac:dyDescent="0.35">
      <c r="A1601">
        <v>1599</v>
      </c>
      <c r="B1601" t="s">
        <v>7</v>
      </c>
      <c r="C1601" t="s">
        <v>35</v>
      </c>
      <c r="D1601">
        <v>0.2</v>
      </c>
      <c r="E1601">
        <v>0.8</v>
      </c>
      <c r="F1601">
        <v>313.14999999999998</v>
      </c>
      <c r="G1601">
        <v>421.4</v>
      </c>
      <c r="H1601">
        <f t="shared" si="96"/>
        <v>-4.82</v>
      </c>
      <c r="I1601">
        <v>8.0667871390996144E-3</v>
      </c>
      <c r="J1601" t="str">
        <f t="shared" si="97"/>
        <v>C[N+](C)(C)CCO.[Cl-]CC(CO)O</v>
      </c>
      <c r="K1601">
        <v>88</v>
      </c>
      <c r="M1601">
        <f t="shared" si="98"/>
        <v>5.4037971934950142E-2</v>
      </c>
      <c r="N1601">
        <f t="shared" si="99"/>
        <v>-0.38567600382840417</v>
      </c>
    </row>
    <row r="1602" spans="1:14" x14ac:dyDescent="0.35">
      <c r="A1602">
        <v>1600</v>
      </c>
      <c r="B1602" t="s">
        <v>7</v>
      </c>
      <c r="C1602" t="s">
        <v>35</v>
      </c>
      <c r="D1602">
        <v>0.2</v>
      </c>
      <c r="E1602">
        <v>0.8</v>
      </c>
      <c r="F1602">
        <v>313.14999999999998</v>
      </c>
      <c r="G1602">
        <v>525.6</v>
      </c>
      <c r="H1602">
        <f t="shared" si="96"/>
        <v>-4.55</v>
      </c>
      <c r="I1602">
        <v>1.0567204383852655E-2</v>
      </c>
      <c r="J1602" t="str">
        <f t="shared" si="97"/>
        <v>C[N+](C)(C)CCO.[Cl-]CC(CO)O</v>
      </c>
      <c r="K1602">
        <v>88</v>
      </c>
      <c r="M1602">
        <f t="shared" si="98"/>
        <v>5.4037971934950142E-2</v>
      </c>
      <c r="N1602">
        <f t="shared" si="99"/>
        <v>-0.32739845569632309</v>
      </c>
    </row>
    <row r="1603" spans="1:14" x14ac:dyDescent="0.35">
      <c r="A1603">
        <v>1601</v>
      </c>
      <c r="B1603" t="s">
        <v>7</v>
      </c>
      <c r="C1603" t="s">
        <v>35</v>
      </c>
      <c r="D1603">
        <v>0.2</v>
      </c>
      <c r="E1603">
        <v>0.8</v>
      </c>
      <c r="F1603">
        <v>323.14999999999998</v>
      </c>
      <c r="G1603">
        <v>122.5</v>
      </c>
      <c r="H1603">
        <f t="shared" ref="H1603:H1666" si="100">LN(I1603)</f>
        <v>-6.21</v>
      </c>
      <c r="I1603">
        <v>2.0092374640700602E-3</v>
      </c>
      <c r="J1603" t="str">
        <f t="shared" ref="J1603:J1666" si="101">_xlfn.CONCAT(B1603,C1603)</f>
        <v>C[N+](C)(C)CCO.[Cl-]CC(CO)O</v>
      </c>
      <c r="K1603">
        <v>88</v>
      </c>
      <c r="M1603">
        <f t="shared" ref="M1603:M1666" si="102">(F1603-$L$3)/$L$2</f>
        <v>0.83775464848239545</v>
      </c>
      <c r="N1603">
        <f t="shared" ref="N1603:N1666" si="103">(G1603-$L$6)/$L$5</f>
        <v>-0.55284643700190728</v>
      </c>
    </row>
    <row r="1604" spans="1:14" x14ac:dyDescent="0.35">
      <c r="A1604">
        <v>1602</v>
      </c>
      <c r="B1604" t="s">
        <v>7</v>
      </c>
      <c r="C1604" t="s">
        <v>35</v>
      </c>
      <c r="D1604">
        <v>0.2</v>
      </c>
      <c r="E1604">
        <v>0.8</v>
      </c>
      <c r="F1604">
        <v>323.14999999999998</v>
      </c>
      <c r="G1604">
        <v>226.6</v>
      </c>
      <c r="H1604">
        <f t="shared" si="100"/>
        <v>-5.63</v>
      </c>
      <c r="I1604">
        <v>3.5885753273319477E-3</v>
      </c>
      <c r="J1604" t="str">
        <f t="shared" si="101"/>
        <v>C[N+](C)(C)CCO.[Cl-]CC(CO)O</v>
      </c>
      <c r="K1604">
        <v>88</v>
      </c>
      <c r="M1604">
        <f t="shared" si="102"/>
        <v>0.83775464848239545</v>
      </c>
      <c r="N1604">
        <f t="shared" si="103"/>
        <v>-0.4946248174188973</v>
      </c>
    </row>
    <row r="1605" spans="1:14" x14ac:dyDescent="0.35">
      <c r="A1605">
        <v>1603</v>
      </c>
      <c r="B1605" t="s">
        <v>7</v>
      </c>
      <c r="C1605" t="s">
        <v>35</v>
      </c>
      <c r="D1605">
        <v>0.2</v>
      </c>
      <c r="E1605">
        <v>0.8</v>
      </c>
      <c r="F1605">
        <v>323.14999999999998</v>
      </c>
      <c r="G1605">
        <v>326.5</v>
      </c>
      <c r="H1605">
        <f t="shared" si="100"/>
        <v>-5.26</v>
      </c>
      <c r="I1605">
        <v>5.1953047187052312E-3</v>
      </c>
      <c r="J1605" t="str">
        <f t="shared" si="101"/>
        <v>C[N+](C)(C)CCO.[Cl-]CC(CO)O</v>
      </c>
      <c r="K1605">
        <v>88</v>
      </c>
      <c r="M1605">
        <f t="shared" si="102"/>
        <v>0.83775464848239545</v>
      </c>
      <c r="N1605">
        <f t="shared" si="103"/>
        <v>-0.43875219689687339</v>
      </c>
    </row>
    <row r="1606" spans="1:14" x14ac:dyDescent="0.35">
      <c r="A1606">
        <v>1604</v>
      </c>
      <c r="B1606" t="s">
        <v>7</v>
      </c>
      <c r="C1606" t="s">
        <v>35</v>
      </c>
      <c r="D1606">
        <v>0.2</v>
      </c>
      <c r="E1606">
        <v>0.8</v>
      </c>
      <c r="F1606">
        <v>323.14999999999998</v>
      </c>
      <c r="G1606">
        <v>425</v>
      </c>
      <c r="H1606">
        <f t="shared" si="100"/>
        <v>-4.95</v>
      </c>
      <c r="I1606">
        <v>7.0834089290521185E-3</v>
      </c>
      <c r="J1606" t="str">
        <f t="shared" si="101"/>
        <v>C[N+](C)(C)CCO.[Cl-]CC(CO)O</v>
      </c>
      <c r="K1606">
        <v>88</v>
      </c>
      <c r="M1606">
        <f t="shared" si="102"/>
        <v>0.83775464848239545</v>
      </c>
      <c r="N1606">
        <f t="shared" si="103"/>
        <v>-0.38366257606184473</v>
      </c>
    </row>
    <row r="1607" spans="1:14" x14ac:dyDescent="0.35">
      <c r="A1607">
        <v>1605</v>
      </c>
      <c r="B1607" t="s">
        <v>7</v>
      </c>
      <c r="C1607" t="s">
        <v>35</v>
      </c>
      <c r="D1607">
        <v>0.2</v>
      </c>
      <c r="E1607">
        <v>0.8</v>
      </c>
      <c r="F1607">
        <v>323.14999999999998</v>
      </c>
      <c r="G1607">
        <v>519.79999999999995</v>
      </c>
      <c r="H1607">
        <f t="shared" si="100"/>
        <v>-4.74</v>
      </c>
      <c r="I1607">
        <v>8.7386461854732905E-3</v>
      </c>
      <c r="J1607" t="str">
        <f t="shared" si="101"/>
        <v>C[N+](C)(C)CCO.[Cl-]CC(CO)O</v>
      </c>
      <c r="K1607">
        <v>88</v>
      </c>
      <c r="M1607">
        <f t="shared" si="102"/>
        <v>0.83775464848239545</v>
      </c>
      <c r="N1607">
        <f t="shared" si="103"/>
        <v>-0.33064231154244667</v>
      </c>
    </row>
    <row r="1608" spans="1:14" x14ac:dyDescent="0.35">
      <c r="A1608">
        <v>1606</v>
      </c>
      <c r="B1608" t="s">
        <v>25</v>
      </c>
      <c r="C1608" t="s">
        <v>45</v>
      </c>
      <c r="D1608">
        <v>0.2</v>
      </c>
      <c r="E1608">
        <v>0.8</v>
      </c>
      <c r="F1608">
        <v>308.14999999999998</v>
      </c>
      <c r="G1608">
        <v>200.5</v>
      </c>
      <c r="H1608">
        <f t="shared" si="100"/>
        <v>-4.8499999999999996</v>
      </c>
      <c r="I1608">
        <v>7.8283775492257734E-3</v>
      </c>
      <c r="J1608" t="str">
        <f t="shared" si="101"/>
        <v>C[N+](C)(C)CC(=O)[O-]C(COCCO)O</v>
      </c>
      <c r="K1608">
        <v>71</v>
      </c>
      <c r="M1608">
        <f t="shared" si="102"/>
        <v>-0.33782036633877249</v>
      </c>
      <c r="N1608">
        <f t="shared" si="103"/>
        <v>-0.50922216872645309</v>
      </c>
    </row>
    <row r="1609" spans="1:14" x14ac:dyDescent="0.35">
      <c r="A1609">
        <v>1607</v>
      </c>
      <c r="B1609" t="s">
        <v>25</v>
      </c>
      <c r="C1609" t="s">
        <v>45</v>
      </c>
      <c r="D1609">
        <v>0.2</v>
      </c>
      <c r="E1609">
        <v>0.8</v>
      </c>
      <c r="F1609">
        <v>308.14999999999998</v>
      </c>
      <c r="G1609">
        <v>343.3</v>
      </c>
      <c r="H1609">
        <f t="shared" si="100"/>
        <v>-4.28</v>
      </c>
      <c r="I1609">
        <v>1.3842662086479501E-2</v>
      </c>
      <c r="J1609" t="str">
        <f t="shared" si="101"/>
        <v>C[N+](C)(C)CC(=O)[O-]C(COCCO)O</v>
      </c>
      <c r="K1609">
        <v>71</v>
      </c>
      <c r="M1609">
        <f t="shared" si="102"/>
        <v>-0.33782036633877249</v>
      </c>
      <c r="N1609">
        <f t="shared" si="103"/>
        <v>-0.4293562006529294</v>
      </c>
    </row>
    <row r="1610" spans="1:14" x14ac:dyDescent="0.35">
      <c r="A1610">
        <v>1608</v>
      </c>
      <c r="B1610" t="s">
        <v>25</v>
      </c>
      <c r="C1610" t="s">
        <v>45</v>
      </c>
      <c r="D1610">
        <v>0.2</v>
      </c>
      <c r="E1610">
        <v>0.8</v>
      </c>
      <c r="F1610">
        <v>308.14999999999998</v>
      </c>
      <c r="G1610">
        <v>439.8</v>
      </c>
      <c r="H1610">
        <f t="shared" si="100"/>
        <v>-4.01</v>
      </c>
      <c r="I1610">
        <v>1.8133395236801075E-2</v>
      </c>
      <c r="J1610" t="str">
        <f t="shared" si="101"/>
        <v>C[N+](C)(C)CC(=O)[O-]C(COCCO)O</v>
      </c>
      <c r="K1610">
        <v>71</v>
      </c>
      <c r="M1610">
        <f t="shared" si="102"/>
        <v>-0.33782036633877249</v>
      </c>
      <c r="N1610">
        <f t="shared" si="103"/>
        <v>-0.37538515079932272</v>
      </c>
    </row>
    <row r="1611" spans="1:14" x14ac:dyDescent="0.35">
      <c r="A1611">
        <v>1609</v>
      </c>
      <c r="B1611" t="s">
        <v>25</v>
      </c>
      <c r="C1611" t="s">
        <v>45</v>
      </c>
      <c r="D1611">
        <v>0.2</v>
      </c>
      <c r="E1611">
        <v>0.8</v>
      </c>
      <c r="F1611">
        <v>308.14999999999998</v>
      </c>
      <c r="G1611">
        <v>525</v>
      </c>
      <c r="H1611">
        <f t="shared" si="100"/>
        <v>-3.83</v>
      </c>
      <c r="I1611">
        <v>2.1709615629848571E-2</v>
      </c>
      <c r="J1611" t="str">
        <f t="shared" si="101"/>
        <v>C[N+](C)(C)CC(=O)[O-]C(COCCO)O</v>
      </c>
      <c r="K1611">
        <v>71</v>
      </c>
      <c r="M1611">
        <f t="shared" si="102"/>
        <v>-0.33782036633877249</v>
      </c>
      <c r="N1611">
        <f t="shared" si="103"/>
        <v>-0.32773402699074972</v>
      </c>
    </row>
    <row r="1612" spans="1:14" x14ac:dyDescent="0.35">
      <c r="A1612">
        <v>1610</v>
      </c>
      <c r="B1612" t="s">
        <v>25</v>
      </c>
      <c r="C1612" t="s">
        <v>45</v>
      </c>
      <c r="D1612">
        <v>0.2</v>
      </c>
      <c r="E1612">
        <v>0.8</v>
      </c>
      <c r="F1612">
        <v>308.14999999999998</v>
      </c>
      <c r="G1612">
        <v>632.5</v>
      </c>
      <c r="H1612">
        <f t="shared" si="100"/>
        <v>-3.63</v>
      </c>
      <c r="I1612">
        <v>2.6516184408894181E-2</v>
      </c>
      <c r="J1612" t="str">
        <f t="shared" si="101"/>
        <v>C[N+](C)(C)CC(=O)[O-]C(COCCO)O</v>
      </c>
      <c r="K1612">
        <v>71</v>
      </c>
      <c r="M1612">
        <f t="shared" si="102"/>
        <v>-0.33782036633877249</v>
      </c>
      <c r="N1612">
        <f t="shared" si="103"/>
        <v>-0.26761083673932251</v>
      </c>
    </row>
    <row r="1613" spans="1:14" x14ac:dyDescent="0.35">
      <c r="A1613">
        <v>1611</v>
      </c>
      <c r="B1613" t="s">
        <v>25</v>
      </c>
      <c r="C1613" t="s">
        <v>45</v>
      </c>
      <c r="D1613">
        <v>0.2</v>
      </c>
      <c r="E1613">
        <v>0.8</v>
      </c>
      <c r="F1613">
        <v>318.14999999999998</v>
      </c>
      <c r="G1613">
        <v>223.3</v>
      </c>
      <c r="H1613">
        <f t="shared" si="100"/>
        <v>-4.93</v>
      </c>
      <c r="I1613">
        <v>7.2265032813764625E-3</v>
      </c>
      <c r="J1613" t="str">
        <f t="shared" si="101"/>
        <v>C[N+](C)(C)CC(=O)[O-]C(COCCO)O</v>
      </c>
      <c r="K1613">
        <v>71</v>
      </c>
      <c r="M1613">
        <f t="shared" si="102"/>
        <v>0.44589631020867276</v>
      </c>
      <c r="N1613">
        <f t="shared" si="103"/>
        <v>-0.49647045953824348</v>
      </c>
    </row>
    <row r="1614" spans="1:14" x14ac:dyDescent="0.35">
      <c r="A1614">
        <v>1612</v>
      </c>
      <c r="B1614" t="s">
        <v>25</v>
      </c>
      <c r="C1614" t="s">
        <v>45</v>
      </c>
      <c r="D1614">
        <v>0.2</v>
      </c>
      <c r="E1614">
        <v>0.8</v>
      </c>
      <c r="F1614">
        <v>318.14999999999998</v>
      </c>
      <c r="G1614">
        <v>362.8</v>
      </c>
      <c r="H1614">
        <f t="shared" si="100"/>
        <v>-4.41</v>
      </c>
      <c r="I1614">
        <v>1.2155178329914935E-2</v>
      </c>
      <c r="J1614" t="str">
        <f t="shared" si="101"/>
        <v>C[N+](C)(C)CC(=O)[O-]C(COCCO)O</v>
      </c>
      <c r="K1614">
        <v>71</v>
      </c>
      <c r="M1614">
        <f t="shared" si="102"/>
        <v>0.44589631020867276</v>
      </c>
      <c r="N1614">
        <f t="shared" si="103"/>
        <v>-0.41845013358406591</v>
      </c>
    </row>
    <row r="1615" spans="1:14" x14ac:dyDescent="0.35">
      <c r="A1615">
        <v>1613</v>
      </c>
      <c r="B1615" t="s">
        <v>25</v>
      </c>
      <c r="C1615" t="s">
        <v>45</v>
      </c>
      <c r="D1615">
        <v>0.2</v>
      </c>
      <c r="E1615">
        <v>0.8</v>
      </c>
      <c r="F1615">
        <v>318.14999999999998</v>
      </c>
      <c r="G1615">
        <v>464.5</v>
      </c>
      <c r="H1615">
        <f t="shared" si="100"/>
        <v>-4.13</v>
      </c>
      <c r="I1615">
        <v>1.6082878822588433E-2</v>
      </c>
      <c r="J1615" t="str">
        <f t="shared" si="101"/>
        <v>C[N+](C)(C)CC(=O)[O-]C(COCCO)O</v>
      </c>
      <c r="K1615">
        <v>71</v>
      </c>
      <c r="M1615">
        <f t="shared" si="102"/>
        <v>0.44589631020867276</v>
      </c>
      <c r="N1615">
        <f t="shared" si="103"/>
        <v>-0.36157079917876217</v>
      </c>
    </row>
    <row r="1616" spans="1:14" x14ac:dyDescent="0.35">
      <c r="A1616">
        <v>1614</v>
      </c>
      <c r="B1616" t="s">
        <v>25</v>
      </c>
      <c r="C1616" t="s">
        <v>45</v>
      </c>
      <c r="D1616">
        <v>0.2</v>
      </c>
      <c r="E1616">
        <v>0.8</v>
      </c>
      <c r="F1616">
        <v>318.14999999999998</v>
      </c>
      <c r="G1616">
        <v>554.29999999999995</v>
      </c>
      <c r="H1616">
        <f t="shared" si="100"/>
        <v>-3.94</v>
      </c>
      <c r="I1616">
        <v>1.9448214745385391E-2</v>
      </c>
      <c r="J1616" t="str">
        <f t="shared" si="101"/>
        <v>C[N+](C)(C)CC(=O)[O-]C(COCCO)O</v>
      </c>
      <c r="K1616">
        <v>71</v>
      </c>
      <c r="M1616">
        <f t="shared" si="102"/>
        <v>0.44589631020867276</v>
      </c>
      <c r="N1616">
        <f t="shared" si="103"/>
        <v>-0.31134696211291885</v>
      </c>
    </row>
    <row r="1617" spans="1:14" x14ac:dyDescent="0.35">
      <c r="A1617">
        <v>1615</v>
      </c>
      <c r="B1617" t="s">
        <v>25</v>
      </c>
      <c r="C1617" t="s">
        <v>45</v>
      </c>
      <c r="D1617">
        <v>0.2</v>
      </c>
      <c r="E1617">
        <v>0.8</v>
      </c>
      <c r="F1617">
        <v>318.14999999999998</v>
      </c>
      <c r="G1617">
        <v>668.5</v>
      </c>
      <c r="H1617">
        <f t="shared" si="100"/>
        <v>-3.75</v>
      </c>
      <c r="I1617">
        <v>2.3517745856009107E-2</v>
      </c>
      <c r="J1617" t="str">
        <f t="shared" si="101"/>
        <v>C[N+](C)(C)CC(=O)[O-]C(COCCO)O</v>
      </c>
      <c r="K1617">
        <v>71</v>
      </c>
      <c r="M1617">
        <f t="shared" si="102"/>
        <v>0.44589631020867276</v>
      </c>
      <c r="N1617">
        <f t="shared" si="103"/>
        <v>-0.24747655907372829</v>
      </c>
    </row>
    <row r="1618" spans="1:14" x14ac:dyDescent="0.35">
      <c r="A1618">
        <v>1616</v>
      </c>
      <c r="B1618" t="s">
        <v>25</v>
      </c>
      <c r="C1618" t="s">
        <v>45</v>
      </c>
      <c r="D1618">
        <v>0.2</v>
      </c>
      <c r="E1618">
        <v>0.8</v>
      </c>
      <c r="F1618">
        <v>328.15</v>
      </c>
      <c r="G1618">
        <v>234</v>
      </c>
      <c r="H1618">
        <f t="shared" si="100"/>
        <v>-5.0199999999999996</v>
      </c>
      <c r="I1618">
        <v>6.6045267093148112E-3</v>
      </c>
      <c r="J1618" t="str">
        <f t="shared" si="101"/>
        <v>C[N+](C)(C)CC(=O)[O-]C(COCCO)O</v>
      </c>
      <c r="K1618">
        <v>71</v>
      </c>
      <c r="M1618">
        <f t="shared" si="102"/>
        <v>1.2296129867561181</v>
      </c>
      <c r="N1618">
        <f t="shared" si="103"/>
        <v>-0.49048610478763627</v>
      </c>
    </row>
    <row r="1619" spans="1:14" x14ac:dyDescent="0.35">
      <c r="A1619">
        <v>1617</v>
      </c>
      <c r="B1619" t="s">
        <v>25</v>
      </c>
      <c r="C1619" t="s">
        <v>45</v>
      </c>
      <c r="D1619">
        <v>0.2</v>
      </c>
      <c r="E1619">
        <v>0.8</v>
      </c>
      <c r="F1619">
        <v>328.15</v>
      </c>
      <c r="G1619">
        <v>381.3</v>
      </c>
      <c r="H1619">
        <f t="shared" si="100"/>
        <v>-4.5199999999999996</v>
      </c>
      <c r="I1619">
        <v>1.0889023668554451E-2</v>
      </c>
      <c r="J1619" t="str">
        <f t="shared" si="101"/>
        <v>C[N+](C)(C)CC(=O)[O-]C(COCCO)O</v>
      </c>
      <c r="K1619">
        <v>71</v>
      </c>
      <c r="M1619">
        <f t="shared" si="102"/>
        <v>1.2296129867561181</v>
      </c>
      <c r="N1619">
        <f t="shared" si="103"/>
        <v>-0.4081033520059133</v>
      </c>
    </row>
    <row r="1620" spans="1:14" x14ac:dyDescent="0.35">
      <c r="A1620">
        <v>1618</v>
      </c>
      <c r="B1620" t="s">
        <v>25</v>
      </c>
      <c r="C1620" t="s">
        <v>45</v>
      </c>
      <c r="D1620">
        <v>0.2</v>
      </c>
      <c r="E1620">
        <v>0.8</v>
      </c>
      <c r="F1620">
        <v>328.15</v>
      </c>
      <c r="G1620">
        <v>488.5</v>
      </c>
      <c r="H1620">
        <f t="shared" si="100"/>
        <v>-4.24</v>
      </c>
      <c r="I1620">
        <v>1.440759184311235E-2</v>
      </c>
      <c r="J1620" t="str">
        <f t="shared" si="101"/>
        <v>C[N+](C)(C)CC(=O)[O-]C(COCCO)O</v>
      </c>
      <c r="K1620">
        <v>71</v>
      </c>
      <c r="M1620">
        <f t="shared" si="102"/>
        <v>1.2296129867561181</v>
      </c>
      <c r="N1620">
        <f t="shared" si="103"/>
        <v>-0.34814794740169941</v>
      </c>
    </row>
    <row r="1621" spans="1:14" x14ac:dyDescent="0.35">
      <c r="A1621">
        <v>1619</v>
      </c>
      <c r="B1621" t="s">
        <v>25</v>
      </c>
      <c r="C1621" t="s">
        <v>45</v>
      </c>
      <c r="D1621">
        <v>0.2</v>
      </c>
      <c r="E1621">
        <v>0.8</v>
      </c>
      <c r="F1621">
        <v>328.15</v>
      </c>
      <c r="G1621">
        <v>583</v>
      </c>
      <c r="H1621">
        <f t="shared" si="100"/>
        <v>-4.05</v>
      </c>
      <c r="I1621">
        <v>1.7422374639493515E-2</v>
      </c>
      <c r="J1621" t="str">
        <f t="shared" si="101"/>
        <v>C[N+](C)(C)CC(=O)[O-]C(COCCO)O</v>
      </c>
      <c r="K1621">
        <v>71</v>
      </c>
      <c r="M1621">
        <f t="shared" si="102"/>
        <v>1.2296129867561181</v>
      </c>
      <c r="N1621">
        <f t="shared" si="103"/>
        <v>-0.29529546852951455</v>
      </c>
    </row>
    <row r="1622" spans="1:14" x14ac:dyDescent="0.35">
      <c r="A1622">
        <v>1620</v>
      </c>
      <c r="B1622" t="s">
        <v>25</v>
      </c>
      <c r="C1622" t="s">
        <v>45</v>
      </c>
      <c r="D1622">
        <v>0.2</v>
      </c>
      <c r="E1622">
        <v>0.8</v>
      </c>
      <c r="F1622">
        <v>328.15</v>
      </c>
      <c r="G1622">
        <v>703.3</v>
      </c>
      <c r="H1622">
        <f t="shared" si="100"/>
        <v>-3.85</v>
      </c>
      <c r="I1622">
        <v>2.1279736438377168E-2</v>
      </c>
      <c r="J1622" t="str">
        <f t="shared" si="101"/>
        <v>C[N+](C)(C)CC(=O)[O-]C(COCCO)O</v>
      </c>
      <c r="K1622">
        <v>71</v>
      </c>
      <c r="M1622">
        <f t="shared" si="102"/>
        <v>1.2296129867561181</v>
      </c>
      <c r="N1622">
        <f t="shared" si="103"/>
        <v>-0.22801342399698724</v>
      </c>
    </row>
    <row r="1623" spans="1:14" x14ac:dyDescent="0.35">
      <c r="A1623">
        <v>1621</v>
      </c>
      <c r="B1623" t="s">
        <v>25</v>
      </c>
      <c r="C1623" t="s">
        <v>45</v>
      </c>
      <c r="D1623">
        <v>0.2</v>
      </c>
      <c r="E1623">
        <v>0.8</v>
      </c>
      <c r="F1623">
        <v>338.15</v>
      </c>
      <c r="G1623">
        <v>245.5</v>
      </c>
      <c r="H1623">
        <f t="shared" si="100"/>
        <v>-5.15</v>
      </c>
      <c r="I1623">
        <v>5.7994047268421414E-3</v>
      </c>
      <c r="J1623" t="str">
        <f t="shared" si="101"/>
        <v>C[N+](C)(C)CC(=O)[O-]C(COCCO)O</v>
      </c>
      <c r="K1623">
        <v>71</v>
      </c>
      <c r="M1623">
        <f t="shared" si="102"/>
        <v>2.0133296633035633</v>
      </c>
      <c r="N1623">
        <f t="shared" si="103"/>
        <v>-0.48405432164446038</v>
      </c>
    </row>
    <row r="1624" spans="1:14" x14ac:dyDescent="0.35">
      <c r="A1624">
        <v>1622</v>
      </c>
      <c r="B1624" t="s">
        <v>25</v>
      </c>
      <c r="C1624" t="s">
        <v>45</v>
      </c>
      <c r="D1624">
        <v>0.2</v>
      </c>
      <c r="E1624">
        <v>0.8</v>
      </c>
      <c r="F1624">
        <v>338.15</v>
      </c>
      <c r="G1624">
        <v>399</v>
      </c>
      <c r="H1624">
        <f t="shared" si="100"/>
        <v>-4.62</v>
      </c>
      <c r="I1624">
        <v>9.8527960611872571E-3</v>
      </c>
      <c r="J1624" t="str">
        <f t="shared" si="101"/>
        <v>C[N+](C)(C)CC(=O)[O-]C(COCCO)O</v>
      </c>
      <c r="K1624">
        <v>71</v>
      </c>
      <c r="M1624">
        <f t="shared" si="102"/>
        <v>2.0133296633035633</v>
      </c>
      <c r="N1624">
        <f t="shared" si="103"/>
        <v>-0.39820399882032947</v>
      </c>
    </row>
    <row r="1625" spans="1:14" x14ac:dyDescent="0.35">
      <c r="A1625">
        <v>1623</v>
      </c>
      <c r="B1625" t="s">
        <v>25</v>
      </c>
      <c r="C1625" t="s">
        <v>45</v>
      </c>
      <c r="D1625">
        <v>0.2</v>
      </c>
      <c r="E1625">
        <v>0.8</v>
      </c>
      <c r="F1625">
        <v>338.15</v>
      </c>
      <c r="G1625">
        <v>511.5</v>
      </c>
      <c r="H1625">
        <f t="shared" si="100"/>
        <v>-4.34</v>
      </c>
      <c r="I1625">
        <v>1.3036528203437736E-2</v>
      </c>
      <c r="J1625" t="str">
        <f t="shared" si="101"/>
        <v>C[N+](C)(C)CC(=O)[O-]C(COCCO)O</v>
      </c>
      <c r="K1625">
        <v>71</v>
      </c>
      <c r="M1625">
        <f t="shared" si="102"/>
        <v>2.0133296633035633</v>
      </c>
      <c r="N1625">
        <f t="shared" si="103"/>
        <v>-0.33528438111534753</v>
      </c>
    </row>
    <row r="1626" spans="1:14" x14ac:dyDescent="0.35">
      <c r="A1626">
        <v>1624</v>
      </c>
      <c r="B1626" t="s">
        <v>25</v>
      </c>
      <c r="C1626" t="s">
        <v>45</v>
      </c>
      <c r="D1626">
        <v>0.2</v>
      </c>
      <c r="E1626">
        <v>0.8</v>
      </c>
      <c r="F1626">
        <v>338.15</v>
      </c>
      <c r="G1626">
        <v>610.5</v>
      </c>
      <c r="H1626">
        <f t="shared" si="100"/>
        <v>-4.1399999999999997</v>
      </c>
      <c r="I1626">
        <v>1.5922851504511698E-2</v>
      </c>
      <c r="J1626" t="str">
        <f t="shared" si="101"/>
        <v>C[N+](C)(C)CC(=O)[O-]C(COCCO)O</v>
      </c>
      <c r="K1626">
        <v>71</v>
      </c>
      <c r="M1626">
        <f t="shared" si="102"/>
        <v>2.0133296633035633</v>
      </c>
      <c r="N1626">
        <f t="shared" si="103"/>
        <v>-0.2799151175349634</v>
      </c>
    </row>
    <row r="1627" spans="1:14" x14ac:dyDescent="0.35">
      <c r="A1627">
        <v>1625</v>
      </c>
      <c r="B1627" t="s">
        <v>25</v>
      </c>
      <c r="C1627" t="s">
        <v>45</v>
      </c>
      <c r="D1627">
        <v>0.2</v>
      </c>
      <c r="E1627">
        <v>0.8</v>
      </c>
      <c r="F1627">
        <v>338.15</v>
      </c>
      <c r="G1627">
        <v>736.8</v>
      </c>
      <c r="H1627">
        <f t="shared" si="100"/>
        <v>-3.95</v>
      </c>
      <c r="I1627">
        <v>1.925470177538692E-2</v>
      </c>
      <c r="J1627" t="str">
        <f t="shared" si="101"/>
        <v>C[N+](C)(C)CC(=O)[O-]C(COCCO)O</v>
      </c>
      <c r="K1627">
        <v>71</v>
      </c>
      <c r="M1627">
        <f t="shared" si="102"/>
        <v>2.0133296633035633</v>
      </c>
      <c r="N1627">
        <f t="shared" si="103"/>
        <v>-0.20927736005817038</v>
      </c>
    </row>
    <row r="1628" spans="1:14" x14ac:dyDescent="0.35">
      <c r="A1628">
        <v>1626</v>
      </c>
      <c r="B1628" t="s">
        <v>25</v>
      </c>
      <c r="C1628" t="s">
        <v>45</v>
      </c>
      <c r="D1628">
        <v>0.2</v>
      </c>
      <c r="E1628">
        <v>0.8</v>
      </c>
      <c r="F1628">
        <v>348.15</v>
      </c>
      <c r="G1628">
        <v>256.3</v>
      </c>
      <c r="H1628">
        <f t="shared" si="100"/>
        <v>-5.26</v>
      </c>
      <c r="I1628">
        <v>5.1953047187052312E-3</v>
      </c>
      <c r="J1628" t="str">
        <f t="shared" si="101"/>
        <v>C[N+](C)(C)CC(=O)[O-]C(COCCO)O</v>
      </c>
      <c r="K1628">
        <v>71</v>
      </c>
      <c r="M1628">
        <f t="shared" si="102"/>
        <v>2.7970463398510086</v>
      </c>
      <c r="N1628">
        <f t="shared" si="103"/>
        <v>-0.47801403834478212</v>
      </c>
    </row>
    <row r="1629" spans="1:14" x14ac:dyDescent="0.35">
      <c r="A1629">
        <v>1627</v>
      </c>
      <c r="B1629" t="s">
        <v>25</v>
      </c>
      <c r="C1629" t="s">
        <v>45</v>
      </c>
      <c r="D1629">
        <v>0.2</v>
      </c>
      <c r="E1629">
        <v>0.8</v>
      </c>
      <c r="F1629">
        <v>348.15</v>
      </c>
      <c r="G1629">
        <v>416.3</v>
      </c>
      <c r="H1629">
        <f t="shared" si="100"/>
        <v>-4.71</v>
      </c>
      <c r="I1629">
        <v>9.0047775824365593E-3</v>
      </c>
      <c r="J1629" t="str">
        <f t="shared" si="101"/>
        <v>C[N+](C)(C)CC(=O)[O-]C(COCCO)O</v>
      </c>
      <c r="K1629">
        <v>71</v>
      </c>
      <c r="M1629">
        <f t="shared" si="102"/>
        <v>2.7970463398510086</v>
      </c>
      <c r="N1629">
        <f t="shared" si="103"/>
        <v>-0.38852835983103001</v>
      </c>
    </row>
    <row r="1630" spans="1:14" x14ac:dyDescent="0.35">
      <c r="A1630">
        <v>1628</v>
      </c>
      <c r="B1630" t="s">
        <v>25</v>
      </c>
      <c r="C1630" t="s">
        <v>45</v>
      </c>
      <c r="D1630">
        <v>0.2</v>
      </c>
      <c r="E1630">
        <v>0.8</v>
      </c>
      <c r="F1630">
        <v>348.15</v>
      </c>
      <c r="G1630">
        <v>533.79999999999995</v>
      </c>
      <c r="H1630">
        <f t="shared" si="100"/>
        <v>-4.43</v>
      </c>
      <c r="I1630">
        <v>1.1914489672789647E-2</v>
      </c>
      <c r="J1630" t="str">
        <f t="shared" si="101"/>
        <v>C[N+](C)(C)CC(=O)[O-]C(COCCO)O</v>
      </c>
      <c r="K1630">
        <v>71</v>
      </c>
      <c r="M1630">
        <f t="shared" si="102"/>
        <v>2.7970463398510086</v>
      </c>
      <c r="N1630">
        <f t="shared" si="103"/>
        <v>-0.32281231467249333</v>
      </c>
    </row>
    <row r="1631" spans="1:14" x14ac:dyDescent="0.35">
      <c r="A1631">
        <v>1629</v>
      </c>
      <c r="B1631" t="s">
        <v>25</v>
      </c>
      <c r="C1631" t="s">
        <v>45</v>
      </c>
      <c r="D1631">
        <v>0.2</v>
      </c>
      <c r="E1631">
        <v>0.8</v>
      </c>
      <c r="F1631">
        <v>348.15</v>
      </c>
      <c r="G1631">
        <v>637.29999999999995</v>
      </c>
      <c r="H1631">
        <f t="shared" si="100"/>
        <v>-4.2300000000000004</v>
      </c>
      <c r="I1631">
        <v>1.4552390548416123E-2</v>
      </c>
      <c r="J1631" t="str">
        <f t="shared" si="101"/>
        <v>C[N+](C)(C)CC(=O)[O-]C(COCCO)O</v>
      </c>
      <c r="K1631">
        <v>71</v>
      </c>
      <c r="M1631">
        <f t="shared" si="102"/>
        <v>2.7970463398510086</v>
      </c>
      <c r="N1631">
        <f t="shared" si="103"/>
        <v>-0.26492626638390998</v>
      </c>
    </row>
    <row r="1632" spans="1:14" x14ac:dyDescent="0.35">
      <c r="A1632">
        <v>1630</v>
      </c>
      <c r="B1632" t="s">
        <v>25</v>
      </c>
      <c r="C1632" t="s">
        <v>45</v>
      </c>
      <c r="D1632">
        <v>0.2</v>
      </c>
      <c r="E1632">
        <v>0.8</v>
      </c>
      <c r="F1632">
        <v>348.15</v>
      </c>
      <c r="G1632">
        <v>769.3</v>
      </c>
      <c r="H1632">
        <f t="shared" si="100"/>
        <v>-4.04</v>
      </c>
      <c r="I1632">
        <v>1.7597472415623393E-2</v>
      </c>
      <c r="J1632" t="str">
        <f t="shared" si="101"/>
        <v>C[N+](C)(C)CC(=O)[O-]C(COCCO)O</v>
      </c>
      <c r="K1632">
        <v>71</v>
      </c>
      <c r="M1632">
        <f t="shared" si="102"/>
        <v>2.7970463398510086</v>
      </c>
      <c r="N1632">
        <f t="shared" si="103"/>
        <v>-0.19110058161006449</v>
      </c>
    </row>
    <row r="1633" spans="1:14" x14ac:dyDescent="0.35">
      <c r="A1633">
        <v>1631</v>
      </c>
      <c r="B1633" t="s">
        <v>7</v>
      </c>
      <c r="C1633" t="s">
        <v>35</v>
      </c>
      <c r="D1633">
        <v>0.2</v>
      </c>
      <c r="E1633">
        <v>0.8</v>
      </c>
      <c r="F1633">
        <v>303.14999999999998</v>
      </c>
      <c r="G1633">
        <v>371.3</v>
      </c>
      <c r="H1633">
        <f t="shared" si="100"/>
        <v>-4.43</v>
      </c>
      <c r="I1633">
        <v>1.1914489672789647E-2</v>
      </c>
      <c r="J1633" t="str">
        <f t="shared" si="101"/>
        <v>C[N+](C)(C)CCO.[Cl-]CC(CO)O</v>
      </c>
      <c r="K1633">
        <v>88</v>
      </c>
      <c r="M1633">
        <f t="shared" si="102"/>
        <v>-0.72967870461249518</v>
      </c>
      <c r="N1633">
        <f t="shared" si="103"/>
        <v>-0.41369620691302283</v>
      </c>
    </row>
    <row r="1634" spans="1:14" x14ac:dyDescent="0.35">
      <c r="A1634">
        <v>1632</v>
      </c>
      <c r="B1634" t="s">
        <v>7</v>
      </c>
      <c r="C1634" t="s">
        <v>35</v>
      </c>
      <c r="D1634">
        <v>0.2</v>
      </c>
      <c r="E1634">
        <v>0.8</v>
      </c>
      <c r="F1634">
        <v>303.14999999999998</v>
      </c>
      <c r="G1634">
        <v>797.5</v>
      </c>
      <c r="H1634">
        <f t="shared" si="100"/>
        <v>-3.6573807870545654</v>
      </c>
      <c r="I1634">
        <v>2.58E-2</v>
      </c>
      <c r="J1634" t="str">
        <f t="shared" si="101"/>
        <v>C[N+](C)(C)CCO.[Cl-]CC(CO)O</v>
      </c>
      <c r="K1634">
        <v>88</v>
      </c>
      <c r="M1634">
        <f t="shared" si="102"/>
        <v>-0.72967870461249518</v>
      </c>
      <c r="N1634">
        <f t="shared" si="103"/>
        <v>-0.17532873077201566</v>
      </c>
    </row>
    <row r="1635" spans="1:14" x14ac:dyDescent="0.35">
      <c r="A1635">
        <v>1633</v>
      </c>
      <c r="B1635" t="s">
        <v>7</v>
      </c>
      <c r="C1635" t="s">
        <v>35</v>
      </c>
      <c r="D1635">
        <v>0.2</v>
      </c>
      <c r="E1635">
        <v>0.8</v>
      </c>
      <c r="F1635">
        <v>303.14999999999998</v>
      </c>
      <c r="G1635">
        <v>1225.5</v>
      </c>
      <c r="H1635">
        <f t="shared" si="100"/>
        <v>-3.23</v>
      </c>
      <c r="I1635">
        <v>3.9557498788398725E-2</v>
      </c>
      <c r="J1635" t="str">
        <f t="shared" si="101"/>
        <v>C[N+](C)(C)CCO.[Cl-]CC(CO)O</v>
      </c>
      <c r="K1635">
        <v>88</v>
      </c>
      <c r="M1635">
        <f t="shared" si="102"/>
        <v>-0.72967870461249518</v>
      </c>
      <c r="N1635">
        <f t="shared" si="103"/>
        <v>6.4045459252271147E-2</v>
      </c>
    </row>
    <row r="1636" spans="1:14" x14ac:dyDescent="0.35">
      <c r="A1636">
        <v>1634</v>
      </c>
      <c r="B1636" t="s">
        <v>7</v>
      </c>
      <c r="C1636" t="s">
        <v>35</v>
      </c>
      <c r="D1636">
        <v>0.2</v>
      </c>
      <c r="E1636">
        <v>0.8</v>
      </c>
      <c r="F1636">
        <v>303.14999999999998</v>
      </c>
      <c r="G1636">
        <v>1646.3</v>
      </c>
      <c r="H1636">
        <f t="shared" si="100"/>
        <v>-2.8841908988210836</v>
      </c>
      <c r="I1636">
        <v>5.5899999999999998E-2</v>
      </c>
      <c r="J1636" t="str">
        <f t="shared" si="101"/>
        <v>C[N+](C)(C)CCO.[Cl-]CC(CO)O</v>
      </c>
      <c r="K1636">
        <v>88</v>
      </c>
      <c r="M1636">
        <f t="shared" si="102"/>
        <v>-0.72967870461249518</v>
      </c>
      <c r="N1636">
        <f t="shared" si="103"/>
        <v>0.29939279374343913</v>
      </c>
    </row>
    <row r="1637" spans="1:14" x14ac:dyDescent="0.35">
      <c r="A1637">
        <v>1635</v>
      </c>
      <c r="B1637" t="s">
        <v>7</v>
      </c>
      <c r="C1637" t="s">
        <v>35</v>
      </c>
      <c r="D1637">
        <v>0.2</v>
      </c>
      <c r="E1637">
        <v>0.8</v>
      </c>
      <c r="F1637">
        <v>303.14999999999998</v>
      </c>
      <c r="G1637">
        <v>2076.8000000000002</v>
      </c>
      <c r="H1637">
        <f t="shared" si="100"/>
        <v>-2.6664285264113907</v>
      </c>
      <c r="I1637">
        <v>6.9500000000000006E-2</v>
      </c>
      <c r="J1637" t="str">
        <f t="shared" si="101"/>
        <v>C[N+](C)(C)CCO.[Cl-]CC(CO)O</v>
      </c>
      <c r="K1637">
        <v>88</v>
      </c>
      <c r="M1637">
        <f t="shared" si="102"/>
        <v>-0.72967870461249518</v>
      </c>
      <c r="N1637">
        <f t="shared" si="103"/>
        <v>0.54016519749450342</v>
      </c>
    </row>
    <row r="1638" spans="1:14" x14ac:dyDescent="0.35">
      <c r="A1638">
        <v>1636</v>
      </c>
      <c r="B1638" t="s">
        <v>7</v>
      </c>
      <c r="C1638" t="s">
        <v>35</v>
      </c>
      <c r="D1638">
        <v>0.2</v>
      </c>
      <c r="E1638">
        <v>0.8</v>
      </c>
      <c r="F1638">
        <v>303.14999999999998</v>
      </c>
      <c r="G1638">
        <v>2507.8000000000002</v>
      </c>
      <c r="H1638">
        <f t="shared" si="100"/>
        <v>-2.4900000000000002</v>
      </c>
      <c r="I1638">
        <v>8.2909966575172661E-2</v>
      </c>
      <c r="J1638" t="str">
        <f t="shared" si="101"/>
        <v>C[N+](C)(C)CCO.[Cl-]CC(CO)O</v>
      </c>
      <c r="K1638">
        <v>88</v>
      </c>
      <c r="M1638">
        <f t="shared" si="102"/>
        <v>-0.72967870461249518</v>
      </c>
      <c r="N1638">
        <f t="shared" si="103"/>
        <v>0.78121724399092307</v>
      </c>
    </row>
    <row r="1639" spans="1:14" x14ac:dyDescent="0.35">
      <c r="A1639">
        <v>1637</v>
      </c>
      <c r="B1639" t="s">
        <v>7</v>
      </c>
      <c r="C1639" t="s">
        <v>35</v>
      </c>
      <c r="D1639">
        <v>0.2</v>
      </c>
      <c r="E1639">
        <v>0.8</v>
      </c>
      <c r="F1639">
        <v>303.14999999999998</v>
      </c>
      <c r="G1639">
        <v>2956.8</v>
      </c>
      <c r="H1639">
        <f t="shared" si="100"/>
        <v>-2.3320139036848579</v>
      </c>
      <c r="I1639">
        <v>9.7100000000000006E-2</v>
      </c>
      <c r="J1639" t="str">
        <f t="shared" si="101"/>
        <v>C[N+](C)(C)CCO.[Cl-]CC(CO)O</v>
      </c>
      <c r="K1639">
        <v>88</v>
      </c>
      <c r="M1639">
        <f t="shared" si="102"/>
        <v>-0.72967870461249518</v>
      </c>
      <c r="N1639">
        <f t="shared" si="103"/>
        <v>1.0323364293201398</v>
      </c>
    </row>
    <row r="1640" spans="1:14" x14ac:dyDescent="0.35">
      <c r="A1640">
        <v>1638</v>
      </c>
      <c r="B1640" t="s">
        <v>7</v>
      </c>
      <c r="C1640" t="s">
        <v>35</v>
      </c>
      <c r="D1640">
        <v>0.2</v>
      </c>
      <c r="E1640">
        <v>0.8</v>
      </c>
      <c r="F1640">
        <v>313.14999999999998</v>
      </c>
      <c r="G1640">
        <v>388.3</v>
      </c>
      <c r="H1640">
        <f t="shared" si="100"/>
        <v>-4.5599999999999996</v>
      </c>
      <c r="I1640">
        <v>1.0462058943426803E-2</v>
      </c>
      <c r="J1640" t="str">
        <f t="shared" si="101"/>
        <v>C[N+](C)(C)CCO.[Cl-]CC(CO)O</v>
      </c>
      <c r="K1640">
        <v>88</v>
      </c>
      <c r="M1640">
        <f t="shared" si="102"/>
        <v>5.4037971934950142E-2</v>
      </c>
      <c r="N1640">
        <f t="shared" si="103"/>
        <v>-0.40418835357093663</v>
      </c>
    </row>
    <row r="1641" spans="1:14" x14ac:dyDescent="0.35">
      <c r="A1641">
        <v>1639</v>
      </c>
      <c r="B1641" t="s">
        <v>7</v>
      </c>
      <c r="C1641" t="s">
        <v>35</v>
      </c>
      <c r="D1641">
        <v>0.2</v>
      </c>
      <c r="E1641">
        <v>0.8</v>
      </c>
      <c r="F1641">
        <v>313.14999999999998</v>
      </c>
      <c r="G1641">
        <v>835.8</v>
      </c>
      <c r="H1641">
        <f t="shared" si="100"/>
        <v>-3.79</v>
      </c>
      <c r="I1641">
        <v>2.2595601851121864E-2</v>
      </c>
      <c r="J1641" t="str">
        <f t="shared" si="101"/>
        <v>C[N+](C)(C)CCO.[Cl-]CC(CO)O</v>
      </c>
      <c r="K1641">
        <v>88</v>
      </c>
      <c r="M1641">
        <f t="shared" si="102"/>
        <v>5.4037971934950142E-2</v>
      </c>
      <c r="N1641">
        <f t="shared" si="103"/>
        <v>-0.1539080964777863</v>
      </c>
    </row>
    <row r="1642" spans="1:14" x14ac:dyDescent="0.35">
      <c r="A1642">
        <v>1640</v>
      </c>
      <c r="B1642" t="s">
        <v>7</v>
      </c>
      <c r="C1642" t="s">
        <v>35</v>
      </c>
      <c r="D1642">
        <v>0.2</v>
      </c>
      <c r="E1642">
        <v>0.8</v>
      </c>
      <c r="F1642">
        <v>313.14999999999998</v>
      </c>
      <c r="G1642">
        <v>1285.5</v>
      </c>
      <c r="H1642">
        <f t="shared" si="100"/>
        <v>-3.3524072174927233</v>
      </c>
      <c r="I1642">
        <v>3.5000000000000003E-2</v>
      </c>
      <c r="J1642" t="str">
        <f t="shared" si="101"/>
        <v>C[N+](C)(C)CCO.[Cl-]CC(CO)O</v>
      </c>
      <c r="K1642">
        <v>88</v>
      </c>
      <c r="M1642">
        <f t="shared" si="102"/>
        <v>5.4037971934950142E-2</v>
      </c>
      <c r="N1642">
        <f t="shared" si="103"/>
        <v>9.7602588694928188E-2</v>
      </c>
    </row>
    <row r="1643" spans="1:14" x14ac:dyDescent="0.35">
      <c r="A1643">
        <v>1641</v>
      </c>
      <c r="B1643" t="s">
        <v>7</v>
      </c>
      <c r="C1643" t="s">
        <v>35</v>
      </c>
      <c r="D1643">
        <v>0.2</v>
      </c>
      <c r="E1643">
        <v>0.8</v>
      </c>
      <c r="F1643">
        <v>313.14999999999998</v>
      </c>
      <c r="G1643">
        <v>1729.8</v>
      </c>
      <c r="H1643">
        <f t="shared" si="100"/>
        <v>-3.0017503458795538</v>
      </c>
      <c r="I1643">
        <v>4.9700000000000001E-2</v>
      </c>
      <c r="J1643" t="str">
        <f t="shared" si="101"/>
        <v>C[N+](C)(C)CCO.[Cl-]CC(CO)O</v>
      </c>
      <c r="K1643">
        <v>88</v>
      </c>
      <c r="M1643">
        <f t="shared" si="102"/>
        <v>5.4037971934950142E-2</v>
      </c>
      <c r="N1643">
        <f t="shared" si="103"/>
        <v>0.34609313221780347</v>
      </c>
    </row>
    <row r="1644" spans="1:14" x14ac:dyDescent="0.35">
      <c r="A1644">
        <v>1642</v>
      </c>
      <c r="B1644" t="s">
        <v>7</v>
      </c>
      <c r="C1644" t="s">
        <v>35</v>
      </c>
      <c r="D1644">
        <v>0.2</v>
      </c>
      <c r="E1644">
        <v>0.8</v>
      </c>
      <c r="F1644">
        <v>313.14999999999998</v>
      </c>
      <c r="G1644">
        <v>2186</v>
      </c>
      <c r="H1644">
        <f t="shared" si="100"/>
        <v>-2.7854713480707951</v>
      </c>
      <c r="I1644">
        <v>6.1699999999999998E-2</v>
      </c>
      <c r="J1644" t="str">
        <f t="shared" si="101"/>
        <v>C[N+](C)(C)CCO.[Cl-]CC(CO)O</v>
      </c>
      <c r="K1644">
        <v>88</v>
      </c>
      <c r="M1644">
        <f t="shared" si="102"/>
        <v>5.4037971934950142E-2</v>
      </c>
      <c r="N1644">
        <f t="shared" si="103"/>
        <v>0.60123917308013908</v>
      </c>
    </row>
    <row r="1645" spans="1:14" x14ac:dyDescent="0.35">
      <c r="A1645">
        <v>1643</v>
      </c>
      <c r="B1645" t="s">
        <v>7</v>
      </c>
      <c r="C1645" t="s">
        <v>35</v>
      </c>
      <c r="D1645">
        <v>0.2</v>
      </c>
      <c r="E1645">
        <v>0.8</v>
      </c>
      <c r="F1645">
        <v>313.14999999999998</v>
      </c>
      <c r="G1645">
        <v>2644.3</v>
      </c>
      <c r="H1645">
        <f t="shared" si="100"/>
        <v>-2.6063965473757102</v>
      </c>
      <c r="I1645">
        <v>7.3800000000000004E-2</v>
      </c>
      <c r="J1645" t="str">
        <f t="shared" si="101"/>
        <v>C[N+](C)(C)CCO.[Cl-]CC(CO)O</v>
      </c>
      <c r="K1645">
        <v>88</v>
      </c>
      <c r="M1645">
        <f t="shared" si="102"/>
        <v>5.4037971934950142E-2</v>
      </c>
      <c r="N1645">
        <f t="shared" si="103"/>
        <v>0.85755971347296789</v>
      </c>
    </row>
    <row r="1646" spans="1:14" x14ac:dyDescent="0.35">
      <c r="A1646">
        <v>1644</v>
      </c>
      <c r="B1646" t="s">
        <v>7</v>
      </c>
      <c r="C1646" t="s">
        <v>35</v>
      </c>
      <c r="D1646">
        <v>0.2</v>
      </c>
      <c r="E1646">
        <v>0.8</v>
      </c>
      <c r="F1646">
        <v>313.14999999999998</v>
      </c>
      <c r="G1646">
        <v>3125</v>
      </c>
      <c r="H1646">
        <f t="shared" si="100"/>
        <v>-2.4510851013124895</v>
      </c>
      <c r="I1646">
        <v>8.6199999999999999E-2</v>
      </c>
      <c r="J1646" t="str">
        <f t="shared" si="101"/>
        <v>C[N+](C)(C)CCO.[Cl-]CC(CO)O</v>
      </c>
      <c r="K1646">
        <v>88</v>
      </c>
      <c r="M1646">
        <f t="shared" si="102"/>
        <v>5.4037971934950142E-2</v>
      </c>
      <c r="N1646">
        <f t="shared" si="103"/>
        <v>1.1264082488577216</v>
      </c>
    </row>
    <row r="1647" spans="1:14" x14ac:dyDescent="0.35">
      <c r="A1647">
        <v>1645</v>
      </c>
      <c r="B1647" t="s">
        <v>7</v>
      </c>
      <c r="C1647" t="s">
        <v>35</v>
      </c>
      <c r="D1647">
        <v>0.2</v>
      </c>
      <c r="E1647">
        <v>0.8</v>
      </c>
      <c r="F1647">
        <v>323.14999999999998</v>
      </c>
      <c r="G1647">
        <v>404.5</v>
      </c>
      <c r="H1647">
        <f t="shared" si="100"/>
        <v>-4.66</v>
      </c>
      <c r="I1647">
        <v>9.4664624017103231E-3</v>
      </c>
      <c r="J1647" t="str">
        <f t="shared" si="101"/>
        <v>C[N+](C)(C)CCO.[Cl-]CC(CO)O</v>
      </c>
      <c r="K1647">
        <v>88</v>
      </c>
      <c r="M1647">
        <f t="shared" si="102"/>
        <v>0.83775464848239545</v>
      </c>
      <c r="N1647">
        <f t="shared" si="103"/>
        <v>-0.39512792862141921</v>
      </c>
    </row>
    <row r="1648" spans="1:14" x14ac:dyDescent="0.35">
      <c r="A1648">
        <v>1646</v>
      </c>
      <c r="B1648" t="s">
        <v>7</v>
      </c>
      <c r="C1648" t="s">
        <v>35</v>
      </c>
      <c r="D1648">
        <v>0.2</v>
      </c>
      <c r="E1648">
        <v>0.8</v>
      </c>
      <c r="F1648">
        <v>323.14999999999998</v>
      </c>
      <c r="G1648">
        <v>871.5</v>
      </c>
      <c r="H1648">
        <f t="shared" si="100"/>
        <v>-3.89</v>
      </c>
      <c r="I1648">
        <v>2.0445346037937653E-2</v>
      </c>
      <c r="J1648" t="str">
        <f t="shared" si="101"/>
        <v>C[N+](C)(C)CCO.[Cl-]CC(CO)O</v>
      </c>
      <c r="K1648">
        <v>88</v>
      </c>
      <c r="M1648">
        <f t="shared" si="102"/>
        <v>0.83775464848239545</v>
      </c>
      <c r="N1648">
        <f t="shared" si="103"/>
        <v>-0.13394160445940534</v>
      </c>
    </row>
    <row r="1649" spans="1:14" x14ac:dyDescent="0.35">
      <c r="A1649">
        <v>1647</v>
      </c>
      <c r="B1649" t="s">
        <v>7</v>
      </c>
      <c r="C1649" t="s">
        <v>35</v>
      </c>
      <c r="D1649">
        <v>0.2</v>
      </c>
      <c r="E1649">
        <v>0.8</v>
      </c>
      <c r="F1649">
        <v>323.14999999999998</v>
      </c>
      <c r="G1649">
        <v>1343.3</v>
      </c>
      <c r="H1649">
        <f t="shared" si="100"/>
        <v>-3.46</v>
      </c>
      <c r="I1649">
        <v>3.142976201836771E-2</v>
      </c>
      <c r="J1649" t="str">
        <f t="shared" si="101"/>
        <v>C[N+](C)(C)CCO.[Cl-]CC(CO)O</v>
      </c>
      <c r="K1649">
        <v>88</v>
      </c>
      <c r="M1649">
        <f t="shared" si="102"/>
        <v>0.83775464848239545</v>
      </c>
      <c r="N1649">
        <f t="shared" si="103"/>
        <v>0.12992929005802109</v>
      </c>
    </row>
    <row r="1650" spans="1:14" x14ac:dyDescent="0.35">
      <c r="A1650">
        <v>1648</v>
      </c>
      <c r="B1650" t="s">
        <v>7</v>
      </c>
      <c r="C1650" t="s">
        <v>35</v>
      </c>
      <c r="D1650">
        <v>0.2</v>
      </c>
      <c r="E1650">
        <v>0.8</v>
      </c>
      <c r="F1650">
        <v>323.14999999999998</v>
      </c>
      <c r="G1650">
        <v>1808.8</v>
      </c>
      <c r="H1650">
        <f t="shared" si="100"/>
        <v>-3.0944482464931489</v>
      </c>
      <c r="I1650">
        <v>4.53E-2</v>
      </c>
      <c r="J1650" t="str">
        <f t="shared" si="101"/>
        <v>C[N+](C)(C)CCO.[Cl-]CC(CO)O</v>
      </c>
      <c r="K1650">
        <v>88</v>
      </c>
      <c r="M1650">
        <f t="shared" si="102"/>
        <v>0.83775464848239545</v>
      </c>
      <c r="N1650">
        <f t="shared" si="103"/>
        <v>0.39027668598396859</v>
      </c>
    </row>
    <row r="1651" spans="1:14" x14ac:dyDescent="0.35">
      <c r="A1651">
        <v>1649</v>
      </c>
      <c r="B1651" t="s">
        <v>7</v>
      </c>
      <c r="C1651" t="s">
        <v>35</v>
      </c>
      <c r="D1651">
        <v>0.2</v>
      </c>
      <c r="E1651">
        <v>0.8</v>
      </c>
      <c r="F1651">
        <v>323.14999999999998</v>
      </c>
      <c r="G1651">
        <v>2289</v>
      </c>
      <c r="H1651">
        <f t="shared" si="100"/>
        <v>-2.8735146408297418</v>
      </c>
      <c r="I1651">
        <v>5.6500000000000002E-2</v>
      </c>
      <c r="J1651" t="str">
        <f t="shared" si="101"/>
        <v>C[N+](C)(C)CCO.[Cl-]CC(CO)O</v>
      </c>
      <c r="K1651">
        <v>88</v>
      </c>
      <c r="M1651">
        <f t="shared" si="102"/>
        <v>0.83775464848239545</v>
      </c>
      <c r="N1651">
        <f t="shared" si="103"/>
        <v>0.65884557862336701</v>
      </c>
    </row>
    <row r="1652" spans="1:14" x14ac:dyDescent="0.35">
      <c r="A1652">
        <v>1650</v>
      </c>
      <c r="B1652" t="s">
        <v>7</v>
      </c>
      <c r="C1652" t="s">
        <v>35</v>
      </c>
      <c r="D1652">
        <v>0.2</v>
      </c>
      <c r="E1652">
        <v>0.8</v>
      </c>
      <c r="F1652">
        <v>323.14999999999998</v>
      </c>
      <c r="G1652">
        <v>2775</v>
      </c>
      <c r="H1652">
        <f t="shared" si="100"/>
        <v>-2.7015712350045007</v>
      </c>
      <c r="I1652">
        <v>6.7100000000000007E-2</v>
      </c>
      <c r="J1652" t="str">
        <f t="shared" si="101"/>
        <v>C[N+](C)(C)CCO.[Cl-]CC(CO)O</v>
      </c>
      <c r="K1652">
        <v>88</v>
      </c>
      <c r="M1652">
        <f t="shared" si="102"/>
        <v>0.83775464848239545</v>
      </c>
      <c r="N1652">
        <f t="shared" si="103"/>
        <v>0.93065832710888896</v>
      </c>
    </row>
    <row r="1653" spans="1:14" x14ac:dyDescent="0.35">
      <c r="A1653">
        <v>1651</v>
      </c>
      <c r="B1653" t="s">
        <v>7</v>
      </c>
      <c r="C1653" t="s">
        <v>35</v>
      </c>
      <c r="D1653">
        <v>0.2</v>
      </c>
      <c r="E1653">
        <v>0.8</v>
      </c>
      <c r="F1653">
        <v>323.14999999999998</v>
      </c>
      <c r="G1653">
        <v>3285.3</v>
      </c>
      <c r="H1653">
        <f t="shared" si="100"/>
        <v>-2.54</v>
      </c>
      <c r="I1653">
        <v>7.8866399790674946E-2</v>
      </c>
      <c r="J1653" t="str">
        <f t="shared" si="101"/>
        <v>C[N+](C)(C)CCO.[Cl-]CC(CO)O</v>
      </c>
      <c r="K1653">
        <v>88</v>
      </c>
      <c r="M1653">
        <f t="shared" si="102"/>
        <v>0.83775464848239545</v>
      </c>
      <c r="N1653">
        <f t="shared" si="103"/>
        <v>1.216061713018687</v>
      </c>
    </row>
    <row r="1654" spans="1:14" x14ac:dyDescent="0.35">
      <c r="A1654">
        <v>1652</v>
      </c>
      <c r="B1654" t="s">
        <v>7</v>
      </c>
      <c r="C1654" t="s">
        <v>35</v>
      </c>
      <c r="D1654">
        <v>0.2</v>
      </c>
      <c r="E1654">
        <v>0.8</v>
      </c>
      <c r="F1654">
        <v>333.15</v>
      </c>
      <c r="G1654">
        <v>420.5</v>
      </c>
      <c r="H1654">
        <f t="shared" si="100"/>
        <v>-4.76</v>
      </c>
      <c r="I1654">
        <v>8.5656093974980606E-3</v>
      </c>
      <c r="J1654" t="str">
        <f t="shared" si="101"/>
        <v>C[N+](C)(C)CCO.[Cl-]CC(CO)O</v>
      </c>
      <c r="K1654">
        <v>88</v>
      </c>
      <c r="M1654">
        <f t="shared" si="102"/>
        <v>1.6214713250298407</v>
      </c>
      <c r="N1654">
        <f t="shared" si="103"/>
        <v>-0.386179360770044</v>
      </c>
    </row>
    <row r="1655" spans="1:14" x14ac:dyDescent="0.35">
      <c r="A1655">
        <v>1653</v>
      </c>
      <c r="B1655" t="s">
        <v>7</v>
      </c>
      <c r="C1655" t="s">
        <v>35</v>
      </c>
      <c r="D1655">
        <v>0.2</v>
      </c>
      <c r="E1655">
        <v>0.8</v>
      </c>
      <c r="F1655">
        <v>333.15</v>
      </c>
      <c r="G1655">
        <v>907</v>
      </c>
      <c r="H1655">
        <f t="shared" si="100"/>
        <v>-3.99</v>
      </c>
      <c r="I1655">
        <v>1.8499714119819242E-2</v>
      </c>
      <c r="J1655" t="str">
        <f t="shared" si="101"/>
        <v>C[N+](C)(C)CCO.[Cl-]CC(CO)O</v>
      </c>
      <c r="K1655">
        <v>88</v>
      </c>
      <c r="M1655">
        <f t="shared" si="102"/>
        <v>1.6214713250298407</v>
      </c>
      <c r="N1655">
        <f t="shared" si="103"/>
        <v>-0.11408696953916658</v>
      </c>
    </row>
    <row r="1656" spans="1:14" x14ac:dyDescent="0.35">
      <c r="A1656">
        <v>1654</v>
      </c>
      <c r="B1656" t="s">
        <v>7</v>
      </c>
      <c r="C1656" t="s">
        <v>35</v>
      </c>
      <c r="D1656">
        <v>0.2</v>
      </c>
      <c r="E1656">
        <v>0.8</v>
      </c>
      <c r="F1656">
        <v>333.15</v>
      </c>
      <c r="G1656">
        <v>1399.8</v>
      </c>
      <c r="H1656">
        <f t="shared" si="100"/>
        <v>-3.56</v>
      </c>
      <c r="I1656">
        <v>2.8438824714184505E-2</v>
      </c>
      <c r="J1656" t="str">
        <f t="shared" si="101"/>
        <v>C[N+](C)(C)CCO.[Cl-]CC(CO)O</v>
      </c>
      <c r="K1656">
        <v>88</v>
      </c>
      <c r="M1656">
        <f t="shared" si="102"/>
        <v>1.6214713250298407</v>
      </c>
      <c r="N1656">
        <f t="shared" si="103"/>
        <v>0.1615289202831898</v>
      </c>
    </row>
    <row r="1657" spans="1:14" x14ac:dyDescent="0.35">
      <c r="A1657">
        <v>1655</v>
      </c>
      <c r="B1657" t="s">
        <v>7</v>
      </c>
      <c r="C1657" t="s">
        <v>35</v>
      </c>
      <c r="D1657">
        <v>0.2</v>
      </c>
      <c r="E1657">
        <v>0.8</v>
      </c>
      <c r="F1657">
        <v>333.15</v>
      </c>
      <c r="G1657">
        <v>1886.3</v>
      </c>
      <c r="H1657">
        <f t="shared" si="100"/>
        <v>-3.1748589394514264</v>
      </c>
      <c r="I1657">
        <v>4.1799999999999997E-2</v>
      </c>
      <c r="J1657" t="str">
        <f t="shared" si="101"/>
        <v>C[N+](C)(C)CCO.[Cl-]CC(CO)O</v>
      </c>
      <c r="K1657">
        <v>88</v>
      </c>
      <c r="M1657">
        <f t="shared" si="102"/>
        <v>1.6214713250298407</v>
      </c>
      <c r="N1657">
        <f t="shared" si="103"/>
        <v>0.43362131151406724</v>
      </c>
    </row>
    <row r="1658" spans="1:14" x14ac:dyDescent="0.35">
      <c r="A1658">
        <v>1656</v>
      </c>
      <c r="B1658" t="s">
        <v>7</v>
      </c>
      <c r="C1658" t="s">
        <v>35</v>
      </c>
      <c r="D1658">
        <v>0.2</v>
      </c>
      <c r="E1658">
        <v>0.8</v>
      </c>
      <c r="F1658">
        <v>333.15</v>
      </c>
      <c r="G1658">
        <v>2391.8000000000002</v>
      </c>
      <c r="H1658">
        <f t="shared" si="100"/>
        <v>-2.96</v>
      </c>
      <c r="I1658">
        <v>5.1818917172725833E-2</v>
      </c>
      <c r="J1658" t="str">
        <f t="shared" si="101"/>
        <v>C[N+](C)(C)CCO.[Cl-]CC(CO)O</v>
      </c>
      <c r="K1658">
        <v>88</v>
      </c>
      <c r="M1658">
        <f t="shared" si="102"/>
        <v>1.6214713250298407</v>
      </c>
      <c r="N1658">
        <f t="shared" si="103"/>
        <v>0.71634012706845285</v>
      </c>
    </row>
    <row r="1659" spans="1:14" x14ac:dyDescent="0.35">
      <c r="A1659">
        <v>1657</v>
      </c>
      <c r="B1659" t="s">
        <v>7</v>
      </c>
      <c r="C1659" t="s">
        <v>35</v>
      </c>
      <c r="D1659">
        <v>0.2</v>
      </c>
      <c r="E1659">
        <v>0.8</v>
      </c>
      <c r="F1659">
        <v>333.15</v>
      </c>
      <c r="G1659">
        <v>2903.8</v>
      </c>
      <c r="H1659">
        <f t="shared" si="100"/>
        <v>-2.7887181041696647</v>
      </c>
      <c r="I1659">
        <v>6.1499999999999999E-2</v>
      </c>
      <c r="J1659" t="str">
        <f t="shared" si="101"/>
        <v>C[N+](C)(C)CCO.[Cl-]CC(CO)O</v>
      </c>
      <c r="K1659">
        <v>88</v>
      </c>
      <c r="M1659">
        <f t="shared" si="102"/>
        <v>1.6214713250298407</v>
      </c>
      <c r="N1659">
        <f t="shared" si="103"/>
        <v>1.0026942983124596</v>
      </c>
    </row>
    <row r="1660" spans="1:14" x14ac:dyDescent="0.35">
      <c r="A1660">
        <v>1658</v>
      </c>
      <c r="B1660" t="s">
        <v>7</v>
      </c>
      <c r="C1660" t="s">
        <v>35</v>
      </c>
      <c r="D1660">
        <v>0.2</v>
      </c>
      <c r="E1660">
        <v>0.8</v>
      </c>
      <c r="F1660">
        <v>333.15</v>
      </c>
      <c r="G1660">
        <v>3443.3</v>
      </c>
      <c r="H1660">
        <f t="shared" si="100"/>
        <v>-2.6227903571513869</v>
      </c>
      <c r="I1660">
        <v>7.2599999999999998E-2</v>
      </c>
      <c r="J1660" t="str">
        <f t="shared" si="101"/>
        <v>C[N+](C)(C)CCO.[Cl-]CC(CO)O</v>
      </c>
      <c r="K1660">
        <v>88</v>
      </c>
      <c r="M1660">
        <f t="shared" si="102"/>
        <v>1.6214713250298407</v>
      </c>
      <c r="N1660">
        <f t="shared" si="103"/>
        <v>1.3044288205510173</v>
      </c>
    </row>
    <row r="1661" spans="1:14" x14ac:dyDescent="0.35">
      <c r="A1661">
        <v>1659</v>
      </c>
      <c r="B1661" t="s">
        <v>7</v>
      </c>
      <c r="C1661" t="s">
        <v>45</v>
      </c>
      <c r="D1661">
        <v>0.2</v>
      </c>
      <c r="E1661">
        <v>0.8</v>
      </c>
      <c r="F1661">
        <v>303.14999999999998</v>
      </c>
      <c r="G1661">
        <v>524.20000000000005</v>
      </c>
      <c r="H1661">
        <f t="shared" si="100"/>
        <v>-4.08</v>
      </c>
      <c r="I1661">
        <v>1.6907465652705279E-2</v>
      </c>
      <c r="J1661" t="str">
        <f t="shared" si="101"/>
        <v>C[N+](C)(C)CCO.[Cl-]C(COCCO)O</v>
      </c>
      <c r="K1661">
        <v>82</v>
      </c>
      <c r="M1661">
        <f t="shared" si="102"/>
        <v>-0.72967870461249518</v>
      </c>
      <c r="N1661">
        <f t="shared" si="103"/>
        <v>-0.32818145538331844</v>
      </c>
    </row>
    <row r="1662" spans="1:14" x14ac:dyDescent="0.35">
      <c r="A1662">
        <v>1660</v>
      </c>
      <c r="B1662" t="s">
        <v>7</v>
      </c>
      <c r="C1662" t="s">
        <v>45</v>
      </c>
      <c r="D1662">
        <v>0.2</v>
      </c>
      <c r="E1662">
        <v>0.8</v>
      </c>
      <c r="F1662">
        <v>303.14999999999998</v>
      </c>
      <c r="G1662">
        <v>617.29999999999995</v>
      </c>
      <c r="H1662">
        <f t="shared" si="100"/>
        <v>-3.9170355472516905</v>
      </c>
      <c r="I1662">
        <v>1.9900000000000001E-2</v>
      </c>
      <c r="J1662" t="str">
        <f t="shared" si="101"/>
        <v>C[N+](C)(C)CCO.[Cl-]C(COCCO)O</v>
      </c>
      <c r="K1662">
        <v>82</v>
      </c>
      <c r="M1662">
        <f t="shared" si="102"/>
        <v>-0.72967870461249518</v>
      </c>
      <c r="N1662">
        <f t="shared" si="103"/>
        <v>-0.27611197619812899</v>
      </c>
    </row>
    <row r="1663" spans="1:14" x14ac:dyDescent="0.35">
      <c r="A1663">
        <v>1661</v>
      </c>
      <c r="B1663" t="s">
        <v>7</v>
      </c>
      <c r="C1663" t="s">
        <v>45</v>
      </c>
      <c r="D1663">
        <v>0.2</v>
      </c>
      <c r="E1663">
        <v>0.8</v>
      </c>
      <c r="F1663">
        <v>303.14999999999998</v>
      </c>
      <c r="G1663">
        <v>726.5</v>
      </c>
      <c r="H1663">
        <f t="shared" si="100"/>
        <v>-3.75</v>
      </c>
      <c r="I1663">
        <v>2.3517745856009107E-2</v>
      </c>
      <c r="J1663" t="str">
        <f t="shared" si="101"/>
        <v>C[N+](C)(C)CCO.[Cl-]C(COCCO)O</v>
      </c>
      <c r="K1663">
        <v>82</v>
      </c>
      <c r="M1663">
        <f t="shared" si="102"/>
        <v>-0.72967870461249518</v>
      </c>
      <c r="N1663">
        <f t="shared" si="103"/>
        <v>-0.21503800061249315</v>
      </c>
    </row>
    <row r="1664" spans="1:14" x14ac:dyDescent="0.35">
      <c r="A1664">
        <v>1662</v>
      </c>
      <c r="B1664" t="s">
        <v>7</v>
      </c>
      <c r="C1664" t="s">
        <v>45</v>
      </c>
      <c r="D1664">
        <v>0.2</v>
      </c>
      <c r="E1664">
        <v>0.8</v>
      </c>
      <c r="F1664">
        <v>303.14999999999998</v>
      </c>
      <c r="G1664">
        <v>846.3</v>
      </c>
      <c r="H1664">
        <f t="shared" si="100"/>
        <v>-3.5972122655881127</v>
      </c>
      <c r="I1664">
        <v>2.7400000000000001E-2</v>
      </c>
      <c r="J1664" t="str">
        <f t="shared" si="101"/>
        <v>C[N+](C)(C)CCO.[Cl-]C(COCCO)O</v>
      </c>
      <c r="K1664">
        <v>82</v>
      </c>
      <c r="M1664">
        <f t="shared" si="102"/>
        <v>-0.72967870461249518</v>
      </c>
      <c r="N1664">
        <f t="shared" si="103"/>
        <v>-0.1480355988253213</v>
      </c>
    </row>
    <row r="1665" spans="1:14" x14ac:dyDescent="0.35">
      <c r="A1665">
        <v>1663</v>
      </c>
      <c r="B1665" t="s">
        <v>7</v>
      </c>
      <c r="C1665" t="s">
        <v>45</v>
      </c>
      <c r="D1665">
        <v>0.2</v>
      </c>
      <c r="E1665">
        <v>0.8</v>
      </c>
      <c r="F1665">
        <v>303.14999999999998</v>
      </c>
      <c r="G1665">
        <v>924.3</v>
      </c>
      <c r="H1665">
        <f t="shared" si="100"/>
        <v>-3.51</v>
      </c>
      <c r="I1665">
        <v>2.9896914436926322E-2</v>
      </c>
      <c r="J1665" t="str">
        <f t="shared" si="101"/>
        <v>C[N+](C)(C)CCO.[Cl-]C(COCCO)O</v>
      </c>
      <c r="K1665">
        <v>82</v>
      </c>
      <c r="M1665">
        <f t="shared" si="102"/>
        <v>-0.72967870461249518</v>
      </c>
      <c r="N1665">
        <f t="shared" si="103"/>
        <v>-0.10441133054986718</v>
      </c>
    </row>
    <row r="1666" spans="1:14" x14ac:dyDescent="0.35">
      <c r="A1666">
        <v>1664</v>
      </c>
      <c r="B1666" t="s">
        <v>7</v>
      </c>
      <c r="C1666" t="s">
        <v>45</v>
      </c>
      <c r="D1666">
        <v>0.2</v>
      </c>
      <c r="E1666">
        <v>0.8</v>
      </c>
      <c r="F1666">
        <v>303.14999999999998</v>
      </c>
      <c r="G1666">
        <v>1032.2</v>
      </c>
      <c r="H1666">
        <f t="shared" si="100"/>
        <v>-3.4021978819957388</v>
      </c>
      <c r="I1666">
        <v>3.3300000000000003E-2</v>
      </c>
      <c r="J1666" t="str">
        <f t="shared" si="101"/>
        <v>C[N+](C)(C)CCO.[Cl-]C(COCCO)O</v>
      </c>
      <c r="K1666">
        <v>82</v>
      </c>
      <c r="M1666">
        <f t="shared" si="102"/>
        <v>-0.72967870461249518</v>
      </c>
      <c r="N1666">
        <f t="shared" si="103"/>
        <v>-4.4064426102155559E-2</v>
      </c>
    </row>
    <row r="1667" spans="1:14" x14ac:dyDescent="0.35">
      <c r="A1667">
        <v>1665</v>
      </c>
      <c r="B1667" t="s">
        <v>7</v>
      </c>
      <c r="C1667" t="s">
        <v>45</v>
      </c>
      <c r="D1667">
        <v>0.2</v>
      </c>
      <c r="E1667">
        <v>0.8</v>
      </c>
      <c r="F1667">
        <v>303.14999999999998</v>
      </c>
      <c r="G1667">
        <v>1119.7</v>
      </c>
      <c r="H1667">
        <f t="shared" ref="H1667:H1730" si="104">LN(I1667)</f>
        <v>-3.3214624136433017</v>
      </c>
      <c r="I1667">
        <v>3.61E-2</v>
      </c>
      <c r="J1667" t="str">
        <f t="shared" ref="J1667:J1730" si="105">_xlfn.CONCAT(B1667,C1667)</f>
        <v>C[N+](C)(C)CCO.[Cl-]C(COCCO)O</v>
      </c>
      <c r="K1667">
        <v>82</v>
      </c>
      <c r="M1667">
        <f t="shared" ref="M1667:M1730" si="106">(F1667-$L$3)/$L$2</f>
        <v>-0.72967870461249518</v>
      </c>
      <c r="N1667">
        <f t="shared" ref="N1667:N1730" si="107">(G1667-$L$6)/$L$5</f>
        <v>4.8730543350526123E-3</v>
      </c>
    </row>
    <row r="1668" spans="1:14" x14ac:dyDescent="0.35">
      <c r="A1668">
        <v>1666</v>
      </c>
      <c r="B1668" t="s">
        <v>11</v>
      </c>
      <c r="C1668" t="s">
        <v>40</v>
      </c>
      <c r="D1668">
        <v>0.2</v>
      </c>
      <c r="E1668">
        <v>0.8</v>
      </c>
      <c r="F1668">
        <v>303.14999999999998</v>
      </c>
      <c r="G1668">
        <v>542.79999999999995</v>
      </c>
      <c r="H1668">
        <f t="shared" si="104"/>
        <v>-3.9738984091462335</v>
      </c>
      <c r="I1668">
        <v>1.8800000000000001E-2</v>
      </c>
      <c r="J1668" t="str">
        <f t="shared" si="105"/>
        <v>CCCC[N+](CCCC)(CCCC)CCCC.[Br-]C(CO)O</v>
      </c>
      <c r="K1668">
        <v>26</v>
      </c>
      <c r="M1668">
        <f t="shared" si="106"/>
        <v>-0.72967870461249518</v>
      </c>
      <c r="N1668">
        <f t="shared" si="107"/>
        <v>-0.31777874525609479</v>
      </c>
    </row>
    <row r="1669" spans="1:14" x14ac:dyDescent="0.35">
      <c r="A1669">
        <v>1667</v>
      </c>
      <c r="B1669" t="s">
        <v>11</v>
      </c>
      <c r="C1669" t="s">
        <v>40</v>
      </c>
      <c r="D1669">
        <v>0.2</v>
      </c>
      <c r="E1669">
        <v>0.8</v>
      </c>
      <c r="F1669">
        <v>303.14999999999998</v>
      </c>
      <c r="G1669">
        <v>669.5</v>
      </c>
      <c r="H1669">
        <f t="shared" si="104"/>
        <v>-3.713172146682981</v>
      </c>
      <c r="I1669">
        <v>2.4400000000000002E-2</v>
      </c>
      <c r="J1669" t="str">
        <f t="shared" si="105"/>
        <v>CCCC[N+](CCCC)(CCCC)CCCC.[Br-]C(CO)O</v>
      </c>
      <c r="K1669">
        <v>26</v>
      </c>
      <c r="M1669">
        <f t="shared" si="106"/>
        <v>-0.72967870461249518</v>
      </c>
      <c r="N1669">
        <f t="shared" si="107"/>
        <v>-0.24691727358301735</v>
      </c>
    </row>
    <row r="1670" spans="1:14" x14ac:dyDescent="0.35">
      <c r="A1670">
        <v>1668</v>
      </c>
      <c r="B1670" t="s">
        <v>11</v>
      </c>
      <c r="C1670" t="s">
        <v>40</v>
      </c>
      <c r="D1670">
        <v>0.2</v>
      </c>
      <c r="E1670">
        <v>0.8</v>
      </c>
      <c r="F1670">
        <v>303.14999999999998</v>
      </c>
      <c r="G1670">
        <v>802.1</v>
      </c>
      <c r="H1670">
        <f t="shared" si="104"/>
        <v>-3.533586569707901</v>
      </c>
      <c r="I1670">
        <v>2.92E-2</v>
      </c>
      <c r="J1670" t="str">
        <f t="shared" si="105"/>
        <v>CCCC[N+](CCCC)(CCCC)CCCC.[Br-]C(CO)O</v>
      </c>
      <c r="K1670">
        <v>26</v>
      </c>
      <c r="M1670">
        <f t="shared" si="106"/>
        <v>-0.72967870461249518</v>
      </c>
      <c r="N1670">
        <f t="shared" si="107"/>
        <v>-0.17275601751474529</v>
      </c>
    </row>
    <row r="1671" spans="1:14" x14ac:dyDescent="0.35">
      <c r="A1671">
        <v>1669</v>
      </c>
      <c r="B1671" t="s">
        <v>11</v>
      </c>
      <c r="C1671" t="s">
        <v>40</v>
      </c>
      <c r="D1671">
        <v>0.2</v>
      </c>
      <c r="E1671">
        <v>0.8</v>
      </c>
      <c r="F1671">
        <v>303.14999999999998</v>
      </c>
      <c r="G1671">
        <v>832.5</v>
      </c>
      <c r="H1671">
        <f t="shared" si="104"/>
        <v>-3.48</v>
      </c>
      <c r="I1671">
        <v>3.0807411032751076E-2</v>
      </c>
      <c r="J1671" t="str">
        <f t="shared" si="105"/>
        <v>CCCC[N+](CCCC)(CCCC)CCCC.[Br-]C(CO)O</v>
      </c>
      <c r="K1671">
        <v>26</v>
      </c>
      <c r="M1671">
        <f t="shared" si="106"/>
        <v>-0.72967870461249518</v>
      </c>
      <c r="N1671">
        <f t="shared" si="107"/>
        <v>-0.1557537385971324</v>
      </c>
    </row>
    <row r="1672" spans="1:14" x14ac:dyDescent="0.35">
      <c r="A1672">
        <v>1670</v>
      </c>
      <c r="B1672" t="s">
        <v>11</v>
      </c>
      <c r="C1672" t="s">
        <v>40</v>
      </c>
      <c r="D1672">
        <v>0.2</v>
      </c>
      <c r="E1672">
        <v>0.8</v>
      </c>
      <c r="F1672">
        <v>303.14999999999998</v>
      </c>
      <c r="G1672">
        <v>1075.9000000000001</v>
      </c>
      <c r="H1672">
        <f t="shared" si="104"/>
        <v>-3.2339894626782488</v>
      </c>
      <c r="I1672">
        <v>3.9399999999999998E-2</v>
      </c>
      <c r="J1672" t="str">
        <f t="shared" si="105"/>
        <v>CCCC[N+](CCCC)(CCCC)CCCC.[Br-]C(CO)O</v>
      </c>
      <c r="K1672">
        <v>26</v>
      </c>
      <c r="M1672">
        <f t="shared" si="106"/>
        <v>-0.72967870461249518</v>
      </c>
      <c r="N1672">
        <f t="shared" si="107"/>
        <v>-1.9623650158086994E-2</v>
      </c>
    </row>
    <row r="1673" spans="1:14" x14ac:dyDescent="0.35">
      <c r="A1673">
        <v>1671</v>
      </c>
      <c r="B1673" t="s">
        <v>11</v>
      </c>
      <c r="C1673" t="s">
        <v>40</v>
      </c>
      <c r="D1673">
        <v>0.2</v>
      </c>
      <c r="E1673">
        <v>0.8</v>
      </c>
      <c r="F1673">
        <v>303.14999999999998</v>
      </c>
      <c r="G1673">
        <v>1374.2</v>
      </c>
      <c r="H1673">
        <f t="shared" si="104"/>
        <v>-3.0037644452512553</v>
      </c>
      <c r="I1673">
        <v>4.9599999999999998E-2</v>
      </c>
      <c r="J1673" t="str">
        <f t="shared" si="105"/>
        <v>CCCC[N+](CCCC)(CCCC)CCCC.[Br-]C(CO)O</v>
      </c>
      <c r="K1673">
        <v>26</v>
      </c>
      <c r="M1673">
        <f t="shared" si="106"/>
        <v>-0.72967870461249518</v>
      </c>
      <c r="N1673">
        <f t="shared" si="107"/>
        <v>0.14721121172098953</v>
      </c>
    </row>
    <row r="1674" spans="1:14" x14ac:dyDescent="0.35">
      <c r="A1674">
        <v>1672</v>
      </c>
      <c r="B1674" t="s">
        <v>11</v>
      </c>
      <c r="C1674" t="s">
        <v>45</v>
      </c>
      <c r="D1674">
        <v>0.2</v>
      </c>
      <c r="E1674">
        <v>0.8</v>
      </c>
      <c r="F1674">
        <v>303.14999999999998</v>
      </c>
      <c r="G1674">
        <v>590</v>
      </c>
      <c r="H1674">
        <f t="shared" si="104"/>
        <v>-3.055482277959765</v>
      </c>
      <c r="I1674">
        <v>4.7100000000000003E-2</v>
      </c>
      <c r="J1674" t="str">
        <f t="shared" si="105"/>
        <v>CCCC[N+](CCCC)(CCCC)CCCC.[Br-]C(COCCO)O</v>
      </c>
      <c r="K1674">
        <v>27</v>
      </c>
      <c r="M1674">
        <f t="shared" si="106"/>
        <v>-0.72967870461249518</v>
      </c>
      <c r="N1674">
        <f t="shared" si="107"/>
        <v>-0.29138047009453788</v>
      </c>
    </row>
    <row r="1675" spans="1:14" x14ac:dyDescent="0.35">
      <c r="A1675">
        <v>1673</v>
      </c>
      <c r="B1675" t="s">
        <v>11</v>
      </c>
      <c r="C1675" t="s">
        <v>45</v>
      </c>
      <c r="D1675">
        <v>0.2</v>
      </c>
      <c r="E1675">
        <v>0.8</v>
      </c>
      <c r="F1675">
        <v>303.14999999999998</v>
      </c>
      <c r="G1675">
        <v>639.9</v>
      </c>
      <c r="H1675">
        <f t="shared" si="104"/>
        <v>-2.99</v>
      </c>
      <c r="I1675">
        <v>5.0287436723591865E-2</v>
      </c>
      <c r="J1675" t="str">
        <f t="shared" si="105"/>
        <v>CCCC[N+](CCCC)(CCCC)CCCC.[Br-]C(COCCO)O</v>
      </c>
      <c r="K1675">
        <v>27</v>
      </c>
      <c r="M1675">
        <f t="shared" si="106"/>
        <v>-0.72967870461249518</v>
      </c>
      <c r="N1675">
        <f t="shared" si="107"/>
        <v>-0.26347212410806148</v>
      </c>
    </row>
    <row r="1676" spans="1:14" x14ac:dyDescent="0.35">
      <c r="A1676">
        <v>1674</v>
      </c>
      <c r="B1676" t="s">
        <v>11</v>
      </c>
      <c r="C1676" t="s">
        <v>45</v>
      </c>
      <c r="D1676">
        <v>0.2</v>
      </c>
      <c r="E1676">
        <v>0.8</v>
      </c>
      <c r="F1676">
        <v>303.14999999999998</v>
      </c>
      <c r="G1676">
        <v>756.9</v>
      </c>
      <c r="H1676">
        <f t="shared" si="104"/>
        <v>-2.8184232585835804</v>
      </c>
      <c r="I1676">
        <v>5.9700000000000003E-2</v>
      </c>
      <c r="J1676" t="str">
        <f t="shared" si="105"/>
        <v>CCCC[N+](CCCC)(CCCC)CCCC.[Br-]C(COCCO)O</v>
      </c>
      <c r="K1676">
        <v>27</v>
      </c>
      <c r="M1676">
        <f t="shared" si="106"/>
        <v>-0.72967870461249518</v>
      </c>
      <c r="N1676">
        <f t="shared" si="107"/>
        <v>-0.19803572169488026</v>
      </c>
    </row>
    <row r="1677" spans="1:14" x14ac:dyDescent="0.35">
      <c r="A1677">
        <v>1675</v>
      </c>
      <c r="B1677" t="s">
        <v>11</v>
      </c>
      <c r="C1677" t="s">
        <v>45</v>
      </c>
      <c r="D1677">
        <v>0.2</v>
      </c>
      <c r="E1677">
        <v>0.8</v>
      </c>
      <c r="F1677">
        <v>303.14999999999998</v>
      </c>
      <c r="G1677">
        <v>908.8</v>
      </c>
      <c r="H1677">
        <f t="shared" si="104"/>
        <v>-2.54</v>
      </c>
      <c r="I1677">
        <v>7.8866399790674946E-2</v>
      </c>
      <c r="J1677" t="str">
        <f t="shared" si="105"/>
        <v>CCCC[N+](CCCC)(CCCC)CCCC.[Br-]C(COCCO)O</v>
      </c>
      <c r="K1677">
        <v>27</v>
      </c>
      <c r="M1677">
        <f t="shared" si="106"/>
        <v>-0.72967870461249518</v>
      </c>
      <c r="N1677">
        <f t="shared" si="107"/>
        <v>-0.1130802556558869</v>
      </c>
    </row>
    <row r="1678" spans="1:14" x14ac:dyDescent="0.35">
      <c r="A1678">
        <v>1676</v>
      </c>
      <c r="B1678" t="s">
        <v>11</v>
      </c>
      <c r="C1678" t="s">
        <v>45</v>
      </c>
      <c r="D1678">
        <v>0.2</v>
      </c>
      <c r="E1678">
        <v>0.8</v>
      </c>
      <c r="F1678">
        <v>303.14999999999998</v>
      </c>
      <c r="G1678">
        <v>1047.7</v>
      </c>
      <c r="H1678">
        <f t="shared" si="104"/>
        <v>-2.4112845099173867</v>
      </c>
      <c r="I1678">
        <v>8.9700000000000002E-2</v>
      </c>
      <c r="J1678" t="str">
        <f t="shared" si="105"/>
        <v>CCCC[N+](CCCC)(CCCC)CCCC.[Br-]C(COCCO)O</v>
      </c>
      <c r="K1678">
        <v>27</v>
      </c>
      <c r="M1678">
        <f t="shared" si="106"/>
        <v>-0.72967870461249518</v>
      </c>
      <c r="N1678">
        <f t="shared" si="107"/>
        <v>-3.5395500996135823E-2</v>
      </c>
    </row>
    <row r="1679" spans="1:14" x14ac:dyDescent="0.35">
      <c r="A1679">
        <v>1677</v>
      </c>
      <c r="B1679" t="s">
        <v>11</v>
      </c>
      <c r="C1679" t="s">
        <v>56</v>
      </c>
      <c r="D1679">
        <v>0.2</v>
      </c>
      <c r="E1679">
        <v>0.8</v>
      </c>
      <c r="F1679">
        <v>303.14999999999998</v>
      </c>
      <c r="G1679">
        <v>502.5</v>
      </c>
      <c r="H1679">
        <f t="shared" si="104"/>
        <v>-2.2081844175725616</v>
      </c>
      <c r="I1679">
        <v>0.1099</v>
      </c>
      <c r="J1679" t="str">
        <f t="shared" si="105"/>
        <v>CCCC[N+](CCCC)(CCCC)CCCC.[Br-]CN(CCO)CCO</v>
      </c>
      <c r="K1679">
        <v>34</v>
      </c>
      <c r="M1679">
        <f t="shared" si="106"/>
        <v>-0.72967870461249518</v>
      </c>
      <c r="N1679">
        <f t="shared" si="107"/>
        <v>-0.34031795053174607</v>
      </c>
    </row>
    <row r="1680" spans="1:14" x14ac:dyDescent="0.35">
      <c r="A1680">
        <v>1678</v>
      </c>
      <c r="B1680" t="s">
        <v>11</v>
      </c>
      <c r="C1680" t="s">
        <v>56</v>
      </c>
      <c r="D1680">
        <v>0.2</v>
      </c>
      <c r="E1680">
        <v>0.8</v>
      </c>
      <c r="F1680">
        <v>303.14999999999998</v>
      </c>
      <c r="G1680">
        <v>664.3</v>
      </c>
      <c r="H1680">
        <f t="shared" si="104"/>
        <v>-1.9554555618988447</v>
      </c>
      <c r="I1680">
        <v>0.14149999999999999</v>
      </c>
      <c r="J1680" t="str">
        <f t="shared" si="105"/>
        <v>CCCC[N+](CCCC)(CCCC)CCCC.[Br-]CN(CCO)CCO</v>
      </c>
      <c r="K1680">
        <v>34</v>
      </c>
      <c r="M1680">
        <f t="shared" si="106"/>
        <v>-0.72967870461249518</v>
      </c>
      <c r="N1680">
        <f t="shared" si="107"/>
        <v>-0.2498255581347143</v>
      </c>
    </row>
    <row r="1681" spans="1:14" x14ac:dyDescent="0.35">
      <c r="A1681">
        <v>1679</v>
      </c>
      <c r="B1681" t="s">
        <v>11</v>
      </c>
      <c r="C1681" t="s">
        <v>56</v>
      </c>
      <c r="D1681">
        <v>0.2</v>
      </c>
      <c r="E1681">
        <v>0.8</v>
      </c>
      <c r="F1681">
        <v>303.14999999999998</v>
      </c>
      <c r="G1681">
        <v>711.9</v>
      </c>
      <c r="H1681">
        <f t="shared" si="104"/>
        <v>-1.783196238567567</v>
      </c>
      <c r="I1681">
        <v>0.1681</v>
      </c>
      <c r="J1681" t="str">
        <f t="shared" si="105"/>
        <v>CCCC[N+](CCCC)(CCCC)CCCC.[Br-]CN(CCO)CCO</v>
      </c>
      <c r="K1681">
        <v>34</v>
      </c>
      <c r="M1681">
        <f t="shared" si="106"/>
        <v>-0.72967870461249518</v>
      </c>
      <c r="N1681">
        <f t="shared" si="107"/>
        <v>-0.22320356877687306</v>
      </c>
    </row>
    <row r="1682" spans="1:14" x14ac:dyDescent="0.35">
      <c r="A1682">
        <v>1680</v>
      </c>
      <c r="B1682" t="s">
        <v>11</v>
      </c>
      <c r="C1682" t="s">
        <v>56</v>
      </c>
      <c r="D1682">
        <v>0.2</v>
      </c>
      <c r="E1682">
        <v>0.8</v>
      </c>
      <c r="F1682">
        <v>303.14999999999998</v>
      </c>
      <c r="G1682">
        <v>834</v>
      </c>
      <c r="H1682">
        <f t="shared" si="104"/>
        <v>-1.6755777149386453</v>
      </c>
      <c r="I1682">
        <v>0.18720000000000001</v>
      </c>
      <c r="J1682" t="str">
        <f t="shared" si="105"/>
        <v>CCCC[N+](CCCC)(CCCC)CCCC.[Br-]CN(CCO)CCO</v>
      </c>
      <c r="K1682">
        <v>34</v>
      </c>
      <c r="M1682">
        <f t="shared" si="106"/>
        <v>-0.72967870461249518</v>
      </c>
      <c r="N1682">
        <f t="shared" si="107"/>
        <v>-0.15491481036106597</v>
      </c>
    </row>
    <row r="1683" spans="1:14" x14ac:dyDescent="0.35">
      <c r="A1683">
        <v>1681</v>
      </c>
      <c r="B1683" t="s">
        <v>11</v>
      </c>
      <c r="C1683" t="s">
        <v>56</v>
      </c>
      <c r="D1683">
        <v>0.2</v>
      </c>
      <c r="E1683">
        <v>0.8</v>
      </c>
      <c r="F1683">
        <v>303.14999999999998</v>
      </c>
      <c r="G1683">
        <v>904</v>
      </c>
      <c r="H1683">
        <f t="shared" si="104"/>
        <v>-1.6004781710626284</v>
      </c>
      <c r="I1683">
        <v>0.20180000000000001</v>
      </c>
      <c r="J1683" t="str">
        <f t="shared" si="105"/>
        <v>CCCC[N+](CCCC)(CCCC)CCCC.[Br-]CN(CCO)CCO</v>
      </c>
      <c r="K1683">
        <v>34</v>
      </c>
      <c r="M1683">
        <f t="shared" si="106"/>
        <v>-0.72967870461249518</v>
      </c>
      <c r="N1683">
        <f t="shared" si="107"/>
        <v>-0.11576482601129943</v>
      </c>
    </row>
    <row r="1684" spans="1:14" x14ac:dyDescent="0.35">
      <c r="A1684">
        <v>1682</v>
      </c>
      <c r="B1684" t="s">
        <v>11</v>
      </c>
      <c r="C1684" t="s">
        <v>56</v>
      </c>
      <c r="D1684">
        <v>0.2</v>
      </c>
      <c r="E1684">
        <v>0.8</v>
      </c>
      <c r="F1684">
        <v>303.14999999999998</v>
      </c>
      <c r="G1684">
        <v>1021</v>
      </c>
      <c r="H1684">
        <f t="shared" si="104"/>
        <v>-1.4907663827166018</v>
      </c>
      <c r="I1684">
        <v>0.22520000000000001</v>
      </c>
      <c r="J1684" t="str">
        <f t="shared" si="105"/>
        <v>CCCC[N+](CCCC)(CCCC)CCCC.[Br-]CN(CCO)CCO</v>
      </c>
      <c r="K1684">
        <v>34</v>
      </c>
      <c r="M1684">
        <f t="shared" si="106"/>
        <v>-0.72967870461249518</v>
      </c>
      <c r="N1684">
        <f t="shared" si="107"/>
        <v>-5.0328423598118233E-2</v>
      </c>
    </row>
    <row r="1685" spans="1:14" x14ac:dyDescent="0.35">
      <c r="A1685">
        <v>1683</v>
      </c>
      <c r="B1685" t="s">
        <v>7</v>
      </c>
      <c r="C1685" t="s">
        <v>50</v>
      </c>
      <c r="D1685">
        <v>0.2</v>
      </c>
      <c r="E1685">
        <v>0.8</v>
      </c>
      <c r="F1685">
        <v>293.14999999999998</v>
      </c>
      <c r="G1685">
        <v>52.1</v>
      </c>
      <c r="H1685">
        <f t="shared" si="104"/>
        <v>-6.12</v>
      </c>
      <c r="I1685">
        <v>2.1984559630425313E-3</v>
      </c>
      <c r="J1685" t="str">
        <f t="shared" si="105"/>
        <v>C[N+](C)(C)CCO.[Cl-]COC1=CC=CC=C1O</v>
      </c>
      <c r="K1685">
        <v>90</v>
      </c>
      <c r="M1685">
        <f t="shared" si="106"/>
        <v>-1.5133953811599403</v>
      </c>
      <c r="N1685">
        <f t="shared" si="107"/>
        <v>-0.59222013554795827</v>
      </c>
    </row>
    <row r="1686" spans="1:14" x14ac:dyDescent="0.35">
      <c r="A1686">
        <v>1684</v>
      </c>
      <c r="B1686" t="s">
        <v>7</v>
      </c>
      <c r="C1686" t="s">
        <v>50</v>
      </c>
      <c r="D1686">
        <v>0.2</v>
      </c>
      <c r="E1686">
        <v>0.8</v>
      </c>
      <c r="F1686">
        <v>293.14999999999998</v>
      </c>
      <c r="G1686">
        <v>143.19999999999999</v>
      </c>
      <c r="H1686">
        <f t="shared" si="104"/>
        <v>-5.132802928070463</v>
      </c>
      <c r="I1686">
        <v>5.8999999999999999E-3</v>
      </c>
      <c r="J1686" t="str">
        <f t="shared" si="105"/>
        <v>C[N+](C)(C)CCO.[Cl-]COC1=CC=CC=C1O</v>
      </c>
      <c r="K1686">
        <v>90</v>
      </c>
      <c r="M1686">
        <f t="shared" si="106"/>
        <v>-1.5133953811599403</v>
      </c>
      <c r="N1686">
        <f t="shared" si="107"/>
        <v>-0.54126922734419058</v>
      </c>
    </row>
    <row r="1687" spans="1:14" x14ac:dyDescent="0.35">
      <c r="A1687">
        <v>1685</v>
      </c>
      <c r="B1687" t="s">
        <v>7</v>
      </c>
      <c r="C1687" t="s">
        <v>50</v>
      </c>
      <c r="D1687">
        <v>0.2</v>
      </c>
      <c r="E1687">
        <v>0.8</v>
      </c>
      <c r="F1687">
        <v>293.14999999999998</v>
      </c>
      <c r="G1687">
        <v>231.9</v>
      </c>
      <c r="H1687">
        <f t="shared" si="104"/>
        <v>-4.6399999999999997</v>
      </c>
      <c r="I1687">
        <v>9.6576976275377768E-3</v>
      </c>
      <c r="J1687" t="str">
        <f t="shared" si="105"/>
        <v>C[N+](C)(C)CCO.[Cl-]COC1=CC=CC=C1O</v>
      </c>
      <c r="K1687">
        <v>90</v>
      </c>
      <c r="M1687">
        <f t="shared" si="106"/>
        <v>-1.5133953811599403</v>
      </c>
      <c r="N1687">
        <f t="shared" si="107"/>
        <v>-0.4916606043181293</v>
      </c>
    </row>
    <row r="1688" spans="1:14" x14ac:dyDescent="0.35">
      <c r="A1688">
        <v>1686</v>
      </c>
      <c r="B1688" t="s">
        <v>7</v>
      </c>
      <c r="C1688" t="s">
        <v>50</v>
      </c>
      <c r="D1688">
        <v>0.2</v>
      </c>
      <c r="E1688">
        <v>0.8</v>
      </c>
      <c r="F1688">
        <v>293.14999999999998</v>
      </c>
      <c r="G1688">
        <v>326.5</v>
      </c>
      <c r="H1688">
        <f t="shared" si="104"/>
        <v>-4.3</v>
      </c>
      <c r="I1688">
        <v>1.3568559012200934E-2</v>
      </c>
      <c r="J1688" t="str">
        <f t="shared" si="105"/>
        <v>C[N+](C)(C)CCO.[Cl-]COC1=CC=CC=C1O</v>
      </c>
      <c r="K1688">
        <v>90</v>
      </c>
      <c r="M1688">
        <f t="shared" si="106"/>
        <v>-1.5133953811599403</v>
      </c>
      <c r="N1688">
        <f t="shared" si="107"/>
        <v>-0.43875219689687339</v>
      </c>
    </row>
    <row r="1689" spans="1:14" x14ac:dyDescent="0.35">
      <c r="A1689">
        <v>1687</v>
      </c>
      <c r="B1689" t="s">
        <v>7</v>
      </c>
      <c r="C1689" t="s">
        <v>50</v>
      </c>
      <c r="D1689">
        <v>0.2</v>
      </c>
      <c r="E1689">
        <v>0.8</v>
      </c>
      <c r="F1689">
        <v>293.14999999999998</v>
      </c>
      <c r="G1689">
        <v>430</v>
      </c>
      <c r="H1689">
        <f t="shared" si="104"/>
        <v>-4.0199999999999996</v>
      </c>
      <c r="I1689">
        <v>1.7952964939502866E-2</v>
      </c>
      <c r="J1689" t="str">
        <f t="shared" si="105"/>
        <v>C[N+](C)(C)CCO.[Cl-]COC1=CC=CC=C1O</v>
      </c>
      <c r="K1689">
        <v>90</v>
      </c>
      <c r="M1689">
        <f t="shared" si="106"/>
        <v>-1.5133953811599403</v>
      </c>
      <c r="N1689">
        <f t="shared" si="107"/>
        <v>-0.38086614860828999</v>
      </c>
    </row>
    <row r="1690" spans="1:14" x14ac:dyDescent="0.35">
      <c r="A1690">
        <v>1688</v>
      </c>
      <c r="B1690" t="s">
        <v>7</v>
      </c>
      <c r="C1690" t="s">
        <v>50</v>
      </c>
      <c r="D1690">
        <v>0.2</v>
      </c>
      <c r="E1690">
        <v>0.8</v>
      </c>
      <c r="F1690">
        <v>293.14999999999998</v>
      </c>
      <c r="G1690">
        <v>526</v>
      </c>
      <c r="H1690">
        <f t="shared" si="104"/>
        <v>-3.81</v>
      </c>
      <c r="I1690">
        <v>2.2148178957037315E-2</v>
      </c>
      <c r="J1690" t="str">
        <f t="shared" si="105"/>
        <v>C[N+](C)(C)CCO.[Cl-]COC1=CC=CC=C1O</v>
      </c>
      <c r="K1690">
        <v>90</v>
      </c>
      <c r="M1690">
        <f t="shared" si="106"/>
        <v>-1.5133953811599403</v>
      </c>
      <c r="N1690">
        <f t="shared" si="107"/>
        <v>-0.32717474150003872</v>
      </c>
    </row>
    <row r="1691" spans="1:14" x14ac:dyDescent="0.35">
      <c r="A1691">
        <v>1689</v>
      </c>
      <c r="B1691" t="s">
        <v>7</v>
      </c>
      <c r="C1691" t="s">
        <v>50</v>
      </c>
      <c r="D1691">
        <v>0.2</v>
      </c>
      <c r="E1691">
        <v>0.8</v>
      </c>
      <c r="F1691">
        <v>303.14999999999998</v>
      </c>
      <c r="G1691">
        <v>100.3</v>
      </c>
      <c r="H1691">
        <f t="shared" si="104"/>
        <v>-5.66</v>
      </c>
      <c r="I1691">
        <v>3.4825168982116632E-3</v>
      </c>
      <c r="J1691" t="str">
        <f t="shared" si="105"/>
        <v>C[N+](C)(C)CCO.[Cl-]COC1=CC=CC=C1O</v>
      </c>
      <c r="K1691">
        <v>90</v>
      </c>
      <c r="M1691">
        <f t="shared" si="106"/>
        <v>-0.72967870461249518</v>
      </c>
      <c r="N1691">
        <f t="shared" si="107"/>
        <v>-0.56526257489569043</v>
      </c>
    </row>
    <row r="1692" spans="1:14" x14ac:dyDescent="0.35">
      <c r="A1692">
        <v>1690</v>
      </c>
      <c r="B1692" t="s">
        <v>7</v>
      </c>
      <c r="C1692" t="s">
        <v>50</v>
      </c>
      <c r="D1692">
        <v>0.2</v>
      </c>
      <c r="E1692">
        <v>0.8</v>
      </c>
      <c r="F1692">
        <v>303.14999999999998</v>
      </c>
      <c r="G1692">
        <v>151.30000000000001</v>
      </c>
      <c r="H1692">
        <f t="shared" si="104"/>
        <v>-5.22</v>
      </c>
      <c r="I1692">
        <v>5.4073291264409599E-3</v>
      </c>
      <c r="J1692" t="str">
        <f t="shared" si="105"/>
        <v>C[N+](C)(C)CCO.[Cl-]COC1=CC=CC=C1O</v>
      </c>
      <c r="K1692">
        <v>90</v>
      </c>
      <c r="M1692">
        <f t="shared" si="106"/>
        <v>-0.72967870461249518</v>
      </c>
      <c r="N1692">
        <f t="shared" si="107"/>
        <v>-0.53673901486943187</v>
      </c>
    </row>
    <row r="1693" spans="1:14" x14ac:dyDescent="0.35">
      <c r="A1693">
        <v>1691</v>
      </c>
      <c r="B1693" t="s">
        <v>7</v>
      </c>
      <c r="C1693" t="s">
        <v>50</v>
      </c>
      <c r="D1693">
        <v>0.2</v>
      </c>
      <c r="E1693">
        <v>0.8</v>
      </c>
      <c r="F1693">
        <v>303.14999999999998</v>
      </c>
      <c r="G1693">
        <v>264.2</v>
      </c>
      <c r="H1693">
        <f t="shared" si="104"/>
        <v>-4.67</v>
      </c>
      <c r="I1693">
        <v>9.3722695270060576E-3</v>
      </c>
      <c r="J1693" t="str">
        <f t="shared" si="105"/>
        <v>C[N+](C)(C)CCO.[Cl-]COC1=CC=CC=C1O</v>
      </c>
      <c r="K1693">
        <v>90</v>
      </c>
      <c r="M1693">
        <f t="shared" si="106"/>
        <v>-0.72967870461249518</v>
      </c>
      <c r="N1693">
        <f t="shared" si="107"/>
        <v>-0.47359568296816557</v>
      </c>
    </row>
    <row r="1694" spans="1:14" x14ac:dyDescent="0.35">
      <c r="A1694">
        <v>1692</v>
      </c>
      <c r="B1694" t="s">
        <v>7</v>
      </c>
      <c r="C1694" t="s">
        <v>50</v>
      </c>
      <c r="D1694">
        <v>0.2</v>
      </c>
      <c r="E1694">
        <v>0.8</v>
      </c>
      <c r="F1694">
        <v>303.14999999999998</v>
      </c>
      <c r="G1694">
        <v>341.7</v>
      </c>
      <c r="H1694">
        <f t="shared" si="104"/>
        <v>-4.4145498263794414</v>
      </c>
      <c r="I1694">
        <v>1.21E-2</v>
      </c>
      <c r="J1694" t="str">
        <f t="shared" si="105"/>
        <v>C[N+](C)(C)CCO.[Cl-]COC1=CC=CC=C1O</v>
      </c>
      <c r="K1694">
        <v>90</v>
      </c>
      <c r="M1694">
        <f t="shared" si="106"/>
        <v>-0.72967870461249518</v>
      </c>
      <c r="N1694">
        <f t="shared" si="107"/>
        <v>-0.43025105743806691</v>
      </c>
    </row>
    <row r="1695" spans="1:14" x14ac:dyDescent="0.35">
      <c r="A1695">
        <v>1693</v>
      </c>
      <c r="B1695" t="s">
        <v>7</v>
      </c>
      <c r="C1695" t="s">
        <v>50</v>
      </c>
      <c r="D1695">
        <v>0.2</v>
      </c>
      <c r="E1695">
        <v>0.8</v>
      </c>
      <c r="F1695">
        <v>303.14999999999998</v>
      </c>
      <c r="G1695">
        <v>437.4</v>
      </c>
      <c r="H1695">
        <f t="shared" si="104"/>
        <v>-4.16</v>
      </c>
      <c r="I1695">
        <v>1.5607557919982831E-2</v>
      </c>
      <c r="J1695" t="str">
        <f t="shared" si="105"/>
        <v>C[N+](C)(C)CCO.[Cl-]COC1=CC=CC=C1O</v>
      </c>
      <c r="K1695">
        <v>90</v>
      </c>
      <c r="M1695">
        <f t="shared" si="106"/>
        <v>-0.72967870461249518</v>
      </c>
      <c r="N1695">
        <f t="shared" si="107"/>
        <v>-0.37672743597702896</v>
      </c>
    </row>
    <row r="1696" spans="1:14" x14ac:dyDescent="0.35">
      <c r="A1696">
        <v>1694</v>
      </c>
      <c r="B1696" t="s">
        <v>7</v>
      </c>
      <c r="C1696" t="s">
        <v>50</v>
      </c>
      <c r="D1696">
        <v>0.2</v>
      </c>
      <c r="E1696">
        <v>0.8</v>
      </c>
      <c r="F1696">
        <v>303.14999999999998</v>
      </c>
      <c r="G1696">
        <v>545.9</v>
      </c>
      <c r="H1696">
        <f t="shared" si="104"/>
        <v>-3.94</v>
      </c>
      <c r="I1696">
        <v>1.9448214745385391E-2</v>
      </c>
      <c r="J1696" t="str">
        <f t="shared" si="105"/>
        <v>C[N+](C)(C)CCO.[Cl-]COC1=CC=CC=C1O</v>
      </c>
      <c r="K1696">
        <v>90</v>
      </c>
      <c r="M1696">
        <f t="shared" si="106"/>
        <v>-0.72967870461249518</v>
      </c>
      <c r="N1696">
        <f t="shared" si="107"/>
        <v>-0.31604496023489081</v>
      </c>
    </row>
    <row r="1697" spans="1:14" x14ac:dyDescent="0.35">
      <c r="A1697">
        <v>1695</v>
      </c>
      <c r="B1697" t="s">
        <v>7</v>
      </c>
      <c r="C1697" t="s">
        <v>50</v>
      </c>
      <c r="D1697">
        <v>0.2</v>
      </c>
      <c r="E1697">
        <v>0.8</v>
      </c>
      <c r="F1697">
        <v>313.14999999999998</v>
      </c>
      <c r="G1697">
        <v>53.4</v>
      </c>
      <c r="H1697">
        <f t="shared" si="104"/>
        <v>-6.57</v>
      </c>
      <c r="I1697">
        <v>1.4017974121366744E-3</v>
      </c>
      <c r="J1697" t="str">
        <f t="shared" si="105"/>
        <v>C[N+](C)(C)CCO.[Cl-]COC1=CC=CC=C1O</v>
      </c>
      <c r="K1697">
        <v>90</v>
      </c>
      <c r="M1697">
        <f t="shared" si="106"/>
        <v>5.4037971934950142E-2</v>
      </c>
      <c r="N1697">
        <f t="shared" si="107"/>
        <v>-0.59149306441003391</v>
      </c>
    </row>
    <row r="1698" spans="1:14" x14ac:dyDescent="0.35">
      <c r="A1698">
        <v>1696</v>
      </c>
      <c r="B1698" t="s">
        <v>7</v>
      </c>
      <c r="C1698" t="s">
        <v>50</v>
      </c>
      <c r="D1698">
        <v>0.2</v>
      </c>
      <c r="E1698">
        <v>0.8</v>
      </c>
      <c r="F1698">
        <v>313.14999999999998</v>
      </c>
      <c r="G1698">
        <v>142.5</v>
      </c>
      <c r="H1698">
        <f t="shared" si="104"/>
        <v>-5.43</v>
      </c>
      <c r="I1698">
        <v>4.3830958026687761E-3</v>
      </c>
      <c r="J1698" t="str">
        <f t="shared" si="105"/>
        <v>C[N+](C)(C)CCO.[Cl-]COC1=CC=CC=C1O</v>
      </c>
      <c r="K1698">
        <v>90</v>
      </c>
      <c r="M1698">
        <f t="shared" si="106"/>
        <v>5.4037971934950142E-2</v>
      </c>
      <c r="N1698">
        <f t="shared" si="107"/>
        <v>-0.54166072718768832</v>
      </c>
    </row>
    <row r="1699" spans="1:14" x14ac:dyDescent="0.35">
      <c r="A1699">
        <v>1697</v>
      </c>
      <c r="B1699" t="s">
        <v>7</v>
      </c>
      <c r="C1699" t="s">
        <v>50</v>
      </c>
      <c r="D1699">
        <v>0.2</v>
      </c>
      <c r="E1699">
        <v>0.8</v>
      </c>
      <c r="F1699">
        <v>313.14999999999998</v>
      </c>
      <c r="G1699">
        <v>235.9</v>
      </c>
      <c r="H1699">
        <f t="shared" si="104"/>
        <v>-4.93</v>
      </c>
      <c r="I1699">
        <v>7.2265032813764625E-3</v>
      </c>
      <c r="J1699" t="str">
        <f t="shared" si="105"/>
        <v>C[N+](C)(C)CCO.[Cl-]COC1=CC=CC=C1O</v>
      </c>
      <c r="K1699">
        <v>90</v>
      </c>
      <c r="M1699">
        <f t="shared" si="106"/>
        <v>5.4037971934950142E-2</v>
      </c>
      <c r="N1699">
        <f t="shared" si="107"/>
        <v>-0.4894234623552855</v>
      </c>
    </row>
    <row r="1700" spans="1:14" x14ac:dyDescent="0.35">
      <c r="A1700">
        <v>1698</v>
      </c>
      <c r="B1700" t="s">
        <v>7</v>
      </c>
      <c r="C1700" t="s">
        <v>50</v>
      </c>
      <c r="D1700">
        <v>0.2</v>
      </c>
      <c r="E1700">
        <v>0.8</v>
      </c>
      <c r="F1700">
        <v>313.14999999999998</v>
      </c>
      <c r="G1700">
        <v>335.5</v>
      </c>
      <c r="H1700">
        <f t="shared" si="104"/>
        <v>-4.58</v>
      </c>
      <c r="I1700">
        <v>1.0254896296404022E-2</v>
      </c>
      <c r="J1700" t="str">
        <f t="shared" si="105"/>
        <v>C[N+](C)(C)CCO.[Cl-]COC1=CC=CC=C1O</v>
      </c>
      <c r="K1700">
        <v>90</v>
      </c>
      <c r="M1700">
        <f t="shared" si="106"/>
        <v>5.4037971934950142E-2</v>
      </c>
      <c r="N1700">
        <f t="shared" si="107"/>
        <v>-0.43371862748047479</v>
      </c>
    </row>
    <row r="1701" spans="1:14" x14ac:dyDescent="0.35">
      <c r="A1701">
        <v>1699</v>
      </c>
      <c r="B1701" t="s">
        <v>7</v>
      </c>
      <c r="C1701" t="s">
        <v>50</v>
      </c>
      <c r="D1701">
        <v>0.2</v>
      </c>
      <c r="E1701">
        <v>0.8</v>
      </c>
      <c r="F1701">
        <v>313.14999999999998</v>
      </c>
      <c r="G1701">
        <v>431.8</v>
      </c>
      <c r="H1701">
        <f t="shared" si="104"/>
        <v>-4.33</v>
      </c>
      <c r="I1701">
        <v>1.3167547490079751E-2</v>
      </c>
      <c r="J1701" t="str">
        <f t="shared" si="105"/>
        <v>C[N+](C)(C)CCO.[Cl-]COC1=CC=CC=C1O</v>
      </c>
      <c r="K1701">
        <v>90</v>
      </c>
      <c r="M1701">
        <f t="shared" si="106"/>
        <v>5.4037971934950142E-2</v>
      </c>
      <c r="N1701">
        <f t="shared" si="107"/>
        <v>-0.37985943472501033</v>
      </c>
    </row>
    <row r="1702" spans="1:14" x14ac:dyDescent="0.35">
      <c r="A1702">
        <v>1700</v>
      </c>
      <c r="B1702" t="s">
        <v>7</v>
      </c>
      <c r="C1702" t="s">
        <v>50</v>
      </c>
      <c r="D1702">
        <v>0.2</v>
      </c>
      <c r="E1702">
        <v>0.8</v>
      </c>
      <c r="F1702">
        <v>313.14999999999998</v>
      </c>
      <c r="G1702">
        <v>542.9</v>
      </c>
      <c r="H1702">
        <f t="shared" si="104"/>
        <v>-4.1043948980756024</v>
      </c>
      <c r="I1702">
        <v>1.6500000000000001E-2</v>
      </c>
      <c r="J1702" t="str">
        <f t="shared" si="105"/>
        <v>C[N+](C)(C)CCO.[Cl-]COC1=CC=CC=C1O</v>
      </c>
      <c r="K1702">
        <v>90</v>
      </c>
      <c r="M1702">
        <f t="shared" si="106"/>
        <v>5.4037971934950142E-2</v>
      </c>
      <c r="N1702">
        <f t="shared" si="107"/>
        <v>-0.31772281670702368</v>
      </c>
    </row>
    <row r="1703" spans="1:14" x14ac:dyDescent="0.35">
      <c r="A1703">
        <v>1701</v>
      </c>
      <c r="B1703" t="s">
        <v>7</v>
      </c>
      <c r="C1703" t="s">
        <v>50</v>
      </c>
      <c r="D1703">
        <v>0.2</v>
      </c>
      <c r="E1703">
        <v>0.8</v>
      </c>
      <c r="F1703">
        <v>323.14999999999998</v>
      </c>
      <c r="G1703">
        <v>54.7</v>
      </c>
      <c r="H1703">
        <f t="shared" si="104"/>
        <v>-6.57</v>
      </c>
      <c r="I1703">
        <v>1.4017974121366744E-3</v>
      </c>
      <c r="J1703" t="str">
        <f t="shared" si="105"/>
        <v>C[N+](C)(C)CCO.[Cl-]COC1=CC=CC=C1O</v>
      </c>
      <c r="K1703">
        <v>90</v>
      </c>
      <c r="M1703">
        <f t="shared" si="106"/>
        <v>0.83775464848239545</v>
      </c>
      <c r="N1703">
        <f t="shared" si="107"/>
        <v>-0.59076599327210966</v>
      </c>
    </row>
    <row r="1704" spans="1:14" x14ac:dyDescent="0.35">
      <c r="A1704">
        <v>1702</v>
      </c>
      <c r="B1704" t="s">
        <v>7</v>
      </c>
      <c r="C1704" t="s">
        <v>50</v>
      </c>
      <c r="D1704">
        <v>0.2</v>
      </c>
      <c r="E1704">
        <v>0.8</v>
      </c>
      <c r="F1704">
        <v>323.14999999999998</v>
      </c>
      <c r="G1704">
        <v>143.6</v>
      </c>
      <c r="H1704">
        <f t="shared" si="104"/>
        <v>-5.57</v>
      </c>
      <c r="I1704">
        <v>3.810480432592037E-3</v>
      </c>
      <c r="J1704" t="str">
        <f t="shared" si="105"/>
        <v>C[N+](C)(C)CCO.[Cl-]COC1=CC=CC=C1O</v>
      </c>
      <c r="K1704">
        <v>90</v>
      </c>
      <c r="M1704">
        <f t="shared" si="106"/>
        <v>0.83775464848239545</v>
      </c>
      <c r="N1704">
        <f t="shared" si="107"/>
        <v>-0.54104551314790617</v>
      </c>
    </row>
    <row r="1705" spans="1:14" x14ac:dyDescent="0.35">
      <c r="A1705">
        <v>1703</v>
      </c>
      <c r="B1705" t="s">
        <v>7</v>
      </c>
      <c r="C1705" t="s">
        <v>50</v>
      </c>
      <c r="D1705">
        <v>0.2</v>
      </c>
      <c r="E1705">
        <v>0.8</v>
      </c>
      <c r="F1705">
        <v>323.14999999999998</v>
      </c>
      <c r="G1705">
        <v>238.5</v>
      </c>
      <c r="H1705">
        <f t="shared" si="104"/>
        <v>-5.07</v>
      </c>
      <c r="I1705">
        <v>6.2824201408011177E-3</v>
      </c>
      <c r="J1705" t="str">
        <f t="shared" si="105"/>
        <v>C[N+](C)(C)CCO.[Cl-]COC1=CC=CC=C1O</v>
      </c>
      <c r="K1705">
        <v>90</v>
      </c>
      <c r="M1705">
        <f t="shared" si="106"/>
        <v>0.83775464848239545</v>
      </c>
      <c r="N1705">
        <f t="shared" si="107"/>
        <v>-0.487969320079437</v>
      </c>
    </row>
    <row r="1706" spans="1:14" x14ac:dyDescent="0.35">
      <c r="A1706">
        <v>1704</v>
      </c>
      <c r="B1706" t="s">
        <v>7</v>
      </c>
      <c r="C1706" t="s">
        <v>50</v>
      </c>
      <c r="D1706">
        <v>0.2</v>
      </c>
      <c r="E1706">
        <v>0.8</v>
      </c>
      <c r="F1706">
        <v>323.14999999999998</v>
      </c>
      <c r="G1706">
        <v>336.7</v>
      </c>
      <c r="H1706">
        <f t="shared" si="104"/>
        <v>-4.71</v>
      </c>
      <c r="I1706">
        <v>9.0047775824365593E-3</v>
      </c>
      <c r="J1706" t="str">
        <f t="shared" si="105"/>
        <v>C[N+](C)(C)CCO.[Cl-]COC1=CC=CC=C1O</v>
      </c>
      <c r="K1706">
        <v>90</v>
      </c>
      <c r="M1706">
        <f t="shared" si="106"/>
        <v>0.83775464848239545</v>
      </c>
      <c r="N1706">
        <f t="shared" si="107"/>
        <v>-0.43304748489162165</v>
      </c>
    </row>
    <row r="1707" spans="1:14" x14ac:dyDescent="0.35">
      <c r="A1707">
        <v>1705</v>
      </c>
      <c r="B1707" t="s">
        <v>7</v>
      </c>
      <c r="C1707" t="s">
        <v>50</v>
      </c>
      <c r="D1707">
        <v>0.2</v>
      </c>
      <c r="E1707">
        <v>0.8</v>
      </c>
      <c r="F1707">
        <v>323.14999999999998</v>
      </c>
      <c r="G1707">
        <v>435.2</v>
      </c>
      <c r="H1707">
        <f t="shared" si="104"/>
        <v>-4.46</v>
      </c>
      <c r="I1707">
        <v>1.1562363287468536E-2</v>
      </c>
      <c r="J1707" t="str">
        <f t="shared" si="105"/>
        <v>C[N+](C)(C)CCO.[Cl-]COC1=CC=CC=C1O</v>
      </c>
      <c r="K1707">
        <v>90</v>
      </c>
      <c r="M1707">
        <f t="shared" si="106"/>
        <v>0.83775464848239545</v>
      </c>
      <c r="N1707">
        <f t="shared" si="107"/>
        <v>-0.37795786405659304</v>
      </c>
    </row>
    <row r="1708" spans="1:14" x14ac:dyDescent="0.35">
      <c r="A1708">
        <v>1706</v>
      </c>
      <c r="B1708" t="s">
        <v>7</v>
      </c>
      <c r="C1708" t="s">
        <v>50</v>
      </c>
      <c r="D1708">
        <v>0.2</v>
      </c>
      <c r="E1708">
        <v>0.8</v>
      </c>
      <c r="F1708">
        <v>323.14999999999998</v>
      </c>
      <c r="G1708">
        <v>535.29999999999995</v>
      </c>
      <c r="H1708">
        <f t="shared" si="104"/>
        <v>-4.26</v>
      </c>
      <c r="I1708">
        <v>1.4122302410163962E-2</v>
      </c>
      <c r="J1708" t="str">
        <f t="shared" si="105"/>
        <v>C[N+](C)(C)CCO.[Cl-]COC1=CC=CC=C1O</v>
      </c>
      <c r="K1708">
        <v>90</v>
      </c>
      <c r="M1708">
        <f t="shared" si="106"/>
        <v>0.83775464848239545</v>
      </c>
      <c r="N1708">
        <f t="shared" si="107"/>
        <v>-0.32197338643642692</v>
      </c>
    </row>
    <row r="1709" spans="1:14" x14ac:dyDescent="0.35">
      <c r="A1709">
        <v>1707</v>
      </c>
      <c r="B1709" t="s">
        <v>8</v>
      </c>
      <c r="C1709" t="s">
        <v>50</v>
      </c>
      <c r="D1709">
        <v>0.2</v>
      </c>
      <c r="E1709">
        <v>0.8</v>
      </c>
      <c r="F1709">
        <v>293.14999999999998</v>
      </c>
      <c r="G1709">
        <v>49.6</v>
      </c>
      <c r="H1709">
        <f t="shared" si="104"/>
        <v>-5.99</v>
      </c>
      <c r="I1709">
        <v>2.5036640502020999E-3</v>
      </c>
      <c r="J1709" t="str">
        <f t="shared" si="105"/>
        <v>CC[NH2+]CC.[Cl-]COC1=CC=CC=C1O</v>
      </c>
      <c r="K1709">
        <v>62</v>
      </c>
      <c r="M1709">
        <f t="shared" si="106"/>
        <v>-1.5133953811599403</v>
      </c>
      <c r="N1709">
        <f t="shared" si="107"/>
        <v>-0.59361834927473567</v>
      </c>
    </row>
    <row r="1710" spans="1:14" x14ac:dyDescent="0.35">
      <c r="A1710">
        <v>1708</v>
      </c>
      <c r="B1710" t="s">
        <v>8</v>
      </c>
      <c r="C1710" t="s">
        <v>50</v>
      </c>
      <c r="D1710">
        <v>0.2</v>
      </c>
      <c r="E1710">
        <v>0.8</v>
      </c>
      <c r="F1710">
        <v>293.14999999999998</v>
      </c>
      <c r="G1710">
        <v>134.6</v>
      </c>
      <c r="H1710">
        <f t="shared" si="104"/>
        <v>-5.01</v>
      </c>
      <c r="I1710">
        <v>6.6709033062552743E-3</v>
      </c>
      <c r="J1710" t="str">
        <f t="shared" si="105"/>
        <v>CC[NH2+]CC.[Cl-]COC1=CC=CC=C1O</v>
      </c>
      <c r="K1710">
        <v>62</v>
      </c>
      <c r="M1710">
        <f t="shared" si="106"/>
        <v>-1.5133953811599403</v>
      </c>
      <c r="N1710">
        <f t="shared" si="107"/>
        <v>-0.54607908256430471</v>
      </c>
    </row>
    <row r="1711" spans="1:14" x14ac:dyDescent="0.35">
      <c r="A1711">
        <v>1709</v>
      </c>
      <c r="B1711" t="s">
        <v>8</v>
      </c>
      <c r="C1711" t="s">
        <v>50</v>
      </c>
      <c r="D1711">
        <v>0.2</v>
      </c>
      <c r="E1711">
        <v>0.8</v>
      </c>
      <c r="F1711">
        <v>293.14999999999998</v>
      </c>
      <c r="G1711">
        <v>224.4</v>
      </c>
      <c r="H1711">
        <f t="shared" si="104"/>
        <v>-4.5</v>
      </c>
      <c r="I1711">
        <v>1.1108996538242306E-2</v>
      </c>
      <c r="J1711" t="str">
        <f t="shared" si="105"/>
        <v>CC[NH2+]CC.[Cl-]COC1=CC=CC=C1O</v>
      </c>
      <c r="K1711">
        <v>62</v>
      </c>
      <c r="M1711">
        <f t="shared" si="106"/>
        <v>-1.5133953811599403</v>
      </c>
      <c r="N1711">
        <f t="shared" si="107"/>
        <v>-0.49585524549846144</v>
      </c>
    </row>
    <row r="1712" spans="1:14" x14ac:dyDescent="0.35">
      <c r="A1712">
        <v>1710</v>
      </c>
      <c r="B1712" t="s">
        <v>8</v>
      </c>
      <c r="C1712" t="s">
        <v>50</v>
      </c>
      <c r="D1712">
        <v>0.2</v>
      </c>
      <c r="E1712">
        <v>0.8</v>
      </c>
      <c r="F1712">
        <v>293.14999999999998</v>
      </c>
      <c r="G1712">
        <v>323.10000000000002</v>
      </c>
      <c r="H1712">
        <f t="shared" si="104"/>
        <v>-4.1399999999999997</v>
      </c>
      <c r="I1712">
        <v>1.5922851504511698E-2</v>
      </c>
      <c r="J1712" t="str">
        <f t="shared" si="105"/>
        <v>CC[NH2+]CC.[Cl-]COC1=CC=CC=C1O</v>
      </c>
      <c r="K1712">
        <v>62</v>
      </c>
      <c r="M1712">
        <f t="shared" si="106"/>
        <v>-1.5133953811599403</v>
      </c>
      <c r="N1712">
        <f t="shared" si="107"/>
        <v>-0.44065376756529057</v>
      </c>
    </row>
    <row r="1713" spans="1:14" x14ac:dyDescent="0.35">
      <c r="A1713">
        <v>1711</v>
      </c>
      <c r="B1713" t="s">
        <v>8</v>
      </c>
      <c r="C1713" t="s">
        <v>50</v>
      </c>
      <c r="D1713">
        <v>0.2</v>
      </c>
      <c r="E1713">
        <v>0.8</v>
      </c>
      <c r="F1713">
        <v>293.14999999999998</v>
      </c>
      <c r="G1713">
        <v>411.3</v>
      </c>
      <c r="H1713">
        <f t="shared" si="104"/>
        <v>-3.8873303928377747</v>
      </c>
      <c r="I1713">
        <v>2.0500000000000001E-2</v>
      </c>
      <c r="J1713" t="str">
        <f t="shared" si="105"/>
        <v>CC[NH2+]CC.[Cl-]COC1=CC=CC=C1O</v>
      </c>
      <c r="K1713">
        <v>62</v>
      </c>
      <c r="M1713">
        <f t="shared" si="106"/>
        <v>-1.5133953811599403</v>
      </c>
      <c r="N1713">
        <f t="shared" si="107"/>
        <v>-0.39132478728458481</v>
      </c>
    </row>
    <row r="1714" spans="1:14" x14ac:dyDescent="0.35">
      <c r="A1714">
        <v>1712</v>
      </c>
      <c r="B1714" t="s">
        <v>8</v>
      </c>
      <c r="C1714" t="s">
        <v>50</v>
      </c>
      <c r="D1714">
        <v>0.2</v>
      </c>
      <c r="E1714">
        <v>0.8</v>
      </c>
      <c r="F1714">
        <v>293.14999999999998</v>
      </c>
      <c r="G1714">
        <v>516.1</v>
      </c>
      <c r="H1714">
        <f t="shared" si="104"/>
        <v>-3.6535123102766449</v>
      </c>
      <c r="I1714">
        <v>2.5899999999999999E-2</v>
      </c>
      <c r="J1714" t="str">
        <f t="shared" si="105"/>
        <v>CC[NH2+]CC.[Cl-]COC1=CC=CC=C1O</v>
      </c>
      <c r="K1714">
        <v>62</v>
      </c>
      <c r="M1714">
        <f t="shared" si="106"/>
        <v>-1.5133953811599403</v>
      </c>
      <c r="N1714">
        <f t="shared" si="107"/>
        <v>-0.33271166785807715</v>
      </c>
    </row>
    <row r="1715" spans="1:14" x14ac:dyDescent="0.35">
      <c r="A1715">
        <v>1713</v>
      </c>
      <c r="B1715" t="s">
        <v>8</v>
      </c>
      <c r="C1715" t="s">
        <v>50</v>
      </c>
      <c r="D1715">
        <v>0.2</v>
      </c>
      <c r="E1715">
        <v>0.8</v>
      </c>
      <c r="F1715">
        <v>303.14999999999998</v>
      </c>
      <c r="G1715">
        <v>61.7</v>
      </c>
      <c r="H1715">
        <f t="shared" si="104"/>
        <v>-5.88</v>
      </c>
      <c r="I1715">
        <v>2.7947852750368437E-3</v>
      </c>
      <c r="J1715" t="str">
        <f t="shared" si="105"/>
        <v>CC[NH2+]CC.[Cl-]COC1=CC=CC=C1O</v>
      </c>
      <c r="K1715">
        <v>62</v>
      </c>
      <c r="M1715">
        <f t="shared" si="106"/>
        <v>-0.72967870461249518</v>
      </c>
      <c r="N1715">
        <f t="shared" si="107"/>
        <v>-0.58685099483713299</v>
      </c>
    </row>
    <row r="1716" spans="1:14" x14ac:dyDescent="0.35">
      <c r="A1716">
        <v>1714</v>
      </c>
      <c r="B1716" t="s">
        <v>8</v>
      </c>
      <c r="C1716" t="s">
        <v>50</v>
      </c>
      <c r="D1716">
        <v>0.2</v>
      </c>
      <c r="E1716">
        <v>0.8</v>
      </c>
      <c r="F1716">
        <v>303.14999999999998</v>
      </c>
      <c r="G1716">
        <v>142.6</v>
      </c>
      <c r="H1716">
        <f t="shared" si="104"/>
        <v>-5.07</v>
      </c>
      <c r="I1716">
        <v>6.2824201408011177E-3</v>
      </c>
      <c r="J1716" t="str">
        <f t="shared" si="105"/>
        <v>CC[NH2+]CC.[Cl-]COC1=CC=CC=C1O</v>
      </c>
      <c r="K1716">
        <v>62</v>
      </c>
      <c r="M1716">
        <f t="shared" si="106"/>
        <v>-0.72967870461249518</v>
      </c>
      <c r="N1716">
        <f t="shared" si="107"/>
        <v>-0.54160479863861721</v>
      </c>
    </row>
    <row r="1717" spans="1:14" x14ac:dyDescent="0.35">
      <c r="A1717">
        <v>1715</v>
      </c>
      <c r="B1717" t="s">
        <v>8</v>
      </c>
      <c r="C1717" t="s">
        <v>50</v>
      </c>
      <c r="D1717">
        <v>0.2</v>
      </c>
      <c r="E1717">
        <v>0.8</v>
      </c>
      <c r="F1717">
        <v>303.14999999999998</v>
      </c>
      <c r="G1717">
        <v>227.5</v>
      </c>
      <c r="H1717">
        <f t="shared" si="104"/>
        <v>-4.6100000000000003</v>
      </c>
      <c r="I1717">
        <v>9.9518183078484198E-3</v>
      </c>
      <c r="J1717" t="str">
        <f t="shared" si="105"/>
        <v>CC[NH2+]CC.[Cl-]COC1=CC=CC=C1O</v>
      </c>
      <c r="K1717">
        <v>62</v>
      </c>
      <c r="M1717">
        <f t="shared" si="106"/>
        <v>-0.72967870461249518</v>
      </c>
      <c r="N1717">
        <f t="shared" si="107"/>
        <v>-0.49412146047725747</v>
      </c>
    </row>
    <row r="1718" spans="1:14" x14ac:dyDescent="0.35">
      <c r="A1718">
        <v>1716</v>
      </c>
      <c r="B1718" t="s">
        <v>8</v>
      </c>
      <c r="C1718" t="s">
        <v>50</v>
      </c>
      <c r="D1718">
        <v>0.2</v>
      </c>
      <c r="E1718">
        <v>0.8</v>
      </c>
      <c r="F1718">
        <v>303.14999999999998</v>
      </c>
      <c r="G1718">
        <v>345.8</v>
      </c>
      <c r="H1718">
        <f t="shared" si="104"/>
        <v>-4.1864598511299063</v>
      </c>
      <c r="I1718">
        <v>1.52E-2</v>
      </c>
      <c r="J1718" t="str">
        <f t="shared" si="105"/>
        <v>CC[NH2+]CC.[Cl-]COC1=CC=CC=C1O</v>
      </c>
      <c r="K1718">
        <v>62</v>
      </c>
      <c r="M1718">
        <f t="shared" si="106"/>
        <v>-0.72967870461249518</v>
      </c>
      <c r="N1718">
        <f t="shared" si="107"/>
        <v>-0.42795798692615206</v>
      </c>
    </row>
    <row r="1719" spans="1:14" x14ac:dyDescent="0.35">
      <c r="A1719">
        <v>1717</v>
      </c>
      <c r="B1719" t="s">
        <v>8</v>
      </c>
      <c r="C1719" t="s">
        <v>50</v>
      </c>
      <c r="D1719">
        <v>0.2</v>
      </c>
      <c r="E1719">
        <v>0.8</v>
      </c>
      <c r="F1719">
        <v>303.14999999999998</v>
      </c>
      <c r="G1719">
        <v>425.4</v>
      </c>
      <c r="H1719">
        <f t="shared" si="104"/>
        <v>-3.9845936982629815</v>
      </c>
      <c r="I1719">
        <v>1.8599999999999998E-2</v>
      </c>
      <c r="J1719" t="str">
        <f t="shared" si="105"/>
        <v>CC[NH2+]CC.[Cl-]COC1=CC=CC=C1O</v>
      </c>
      <c r="K1719">
        <v>62</v>
      </c>
      <c r="M1719">
        <f t="shared" si="106"/>
        <v>-0.72967870461249518</v>
      </c>
      <c r="N1719">
        <f t="shared" si="107"/>
        <v>-0.38343886186556037</v>
      </c>
    </row>
    <row r="1720" spans="1:14" x14ac:dyDescent="0.35">
      <c r="A1720">
        <v>1718</v>
      </c>
      <c r="B1720" t="s">
        <v>8</v>
      </c>
      <c r="C1720" t="s">
        <v>50</v>
      </c>
      <c r="D1720">
        <v>0.2</v>
      </c>
      <c r="E1720">
        <v>0.8</v>
      </c>
      <c r="F1720">
        <v>303.14999999999998</v>
      </c>
      <c r="G1720">
        <v>524.79999999999995</v>
      </c>
      <c r="H1720">
        <f t="shared" si="104"/>
        <v>-3.7766183684219432</v>
      </c>
      <c r="I1720">
        <v>2.29E-2</v>
      </c>
      <c r="J1720" t="str">
        <f t="shared" si="105"/>
        <v>CC[NH2+]CC.[Cl-]COC1=CC=CC=C1O</v>
      </c>
      <c r="K1720">
        <v>62</v>
      </c>
      <c r="M1720">
        <f t="shared" si="106"/>
        <v>-0.72967870461249518</v>
      </c>
      <c r="N1720">
        <f t="shared" si="107"/>
        <v>-0.32784588408889193</v>
      </c>
    </row>
    <row r="1721" spans="1:14" x14ac:dyDescent="0.35">
      <c r="A1721">
        <v>1719</v>
      </c>
      <c r="B1721" t="s">
        <v>8</v>
      </c>
      <c r="C1721" t="s">
        <v>50</v>
      </c>
      <c r="D1721">
        <v>0.2</v>
      </c>
      <c r="E1721">
        <v>0.8</v>
      </c>
      <c r="F1721">
        <v>313.14999999999998</v>
      </c>
      <c r="G1721">
        <v>54.2</v>
      </c>
      <c r="H1721">
        <f t="shared" si="104"/>
        <v>-6.21</v>
      </c>
      <c r="I1721">
        <v>2.0092374640700602E-3</v>
      </c>
      <c r="J1721" t="str">
        <f t="shared" si="105"/>
        <v>CC[NH2+]CC.[Cl-]COC1=CC=CC=C1O</v>
      </c>
      <c r="K1721">
        <v>62</v>
      </c>
      <c r="M1721">
        <f t="shared" si="106"/>
        <v>5.4037971934950142E-2</v>
      </c>
      <c r="N1721">
        <f t="shared" si="107"/>
        <v>-0.59104563601746518</v>
      </c>
    </row>
    <row r="1722" spans="1:14" x14ac:dyDescent="0.35">
      <c r="A1722">
        <v>1720</v>
      </c>
      <c r="B1722" t="s">
        <v>8</v>
      </c>
      <c r="C1722" t="s">
        <v>50</v>
      </c>
      <c r="D1722">
        <v>0.2</v>
      </c>
      <c r="E1722">
        <v>0.8</v>
      </c>
      <c r="F1722">
        <v>313.14999999999998</v>
      </c>
      <c r="G1722">
        <v>141.1</v>
      </c>
      <c r="H1722">
        <f t="shared" si="104"/>
        <v>-5.24</v>
      </c>
      <c r="I1722">
        <v>5.3002568358704021E-3</v>
      </c>
      <c r="J1722" t="str">
        <f t="shared" si="105"/>
        <v>CC[NH2+]CC.[Cl-]COC1=CC=CC=C1O</v>
      </c>
      <c r="K1722">
        <v>62</v>
      </c>
      <c r="M1722">
        <f t="shared" si="106"/>
        <v>5.4037971934950142E-2</v>
      </c>
      <c r="N1722">
        <f t="shared" si="107"/>
        <v>-0.54244372687468356</v>
      </c>
    </row>
    <row r="1723" spans="1:14" x14ac:dyDescent="0.35">
      <c r="A1723">
        <v>1721</v>
      </c>
      <c r="B1723" t="s">
        <v>8</v>
      </c>
      <c r="C1723" t="s">
        <v>50</v>
      </c>
      <c r="D1723">
        <v>0.2</v>
      </c>
      <c r="E1723">
        <v>0.8</v>
      </c>
      <c r="F1723">
        <v>313.14999999999998</v>
      </c>
      <c r="G1723">
        <v>242.2</v>
      </c>
      <c r="H1723">
        <f t="shared" si="104"/>
        <v>-4.71</v>
      </c>
      <c r="I1723">
        <v>9.0047775824365593E-3</v>
      </c>
      <c r="J1723" t="str">
        <f t="shared" si="105"/>
        <v>CC[NH2+]CC.[Cl-]COC1=CC=CC=C1O</v>
      </c>
      <c r="K1723">
        <v>62</v>
      </c>
      <c r="M1723">
        <f t="shared" si="106"/>
        <v>5.4037971934950142E-2</v>
      </c>
      <c r="N1723">
        <f t="shared" si="107"/>
        <v>-0.48589996376380645</v>
      </c>
    </row>
    <row r="1724" spans="1:14" x14ac:dyDescent="0.35">
      <c r="A1724">
        <v>1722</v>
      </c>
      <c r="B1724" t="s">
        <v>8</v>
      </c>
      <c r="C1724" t="s">
        <v>50</v>
      </c>
      <c r="D1724">
        <v>0.2</v>
      </c>
      <c r="E1724">
        <v>0.8</v>
      </c>
      <c r="F1724">
        <v>313.14999999999998</v>
      </c>
      <c r="G1724">
        <v>346.8</v>
      </c>
      <c r="H1724">
        <f t="shared" si="104"/>
        <v>-4.34</v>
      </c>
      <c r="I1724">
        <v>1.3036528203437736E-2</v>
      </c>
      <c r="J1724" t="str">
        <f t="shared" si="105"/>
        <v>CC[NH2+]CC.[Cl-]COC1=CC=CC=C1O</v>
      </c>
      <c r="K1724">
        <v>62</v>
      </c>
      <c r="M1724">
        <f t="shared" si="106"/>
        <v>5.4037971934950142E-2</v>
      </c>
      <c r="N1724">
        <f t="shared" si="107"/>
        <v>-0.42739870143544112</v>
      </c>
    </row>
    <row r="1725" spans="1:14" x14ac:dyDescent="0.35">
      <c r="A1725">
        <v>1723</v>
      </c>
      <c r="B1725" t="s">
        <v>8</v>
      </c>
      <c r="C1725" t="s">
        <v>50</v>
      </c>
      <c r="D1725">
        <v>0.2</v>
      </c>
      <c r="E1725">
        <v>0.8</v>
      </c>
      <c r="F1725">
        <v>313.14999999999998</v>
      </c>
      <c r="G1725">
        <v>431.8</v>
      </c>
      <c r="H1725">
        <f t="shared" si="104"/>
        <v>-4.12</v>
      </c>
      <c r="I1725">
        <v>1.6244514441949871E-2</v>
      </c>
      <c r="J1725" t="str">
        <f t="shared" si="105"/>
        <v>CC[NH2+]CC.[Cl-]COC1=CC=CC=C1O</v>
      </c>
      <c r="K1725">
        <v>62</v>
      </c>
      <c r="M1725">
        <f t="shared" si="106"/>
        <v>5.4037971934950142E-2</v>
      </c>
      <c r="N1725">
        <f t="shared" si="107"/>
        <v>-0.37985943472501033</v>
      </c>
    </row>
    <row r="1726" spans="1:14" x14ac:dyDescent="0.35">
      <c r="A1726">
        <v>1724</v>
      </c>
      <c r="B1726" t="s">
        <v>8</v>
      </c>
      <c r="C1726" t="s">
        <v>50</v>
      </c>
      <c r="D1726">
        <v>0.2</v>
      </c>
      <c r="E1726">
        <v>0.8</v>
      </c>
      <c r="F1726">
        <v>313.14999999999998</v>
      </c>
      <c r="G1726">
        <v>529.20000000000005</v>
      </c>
      <c r="H1726">
        <f t="shared" si="104"/>
        <v>-3.9170355472516905</v>
      </c>
      <c r="I1726">
        <v>1.9900000000000001E-2</v>
      </c>
      <c r="J1726" t="str">
        <f t="shared" si="105"/>
        <v>CC[NH2+]CC.[Cl-]COC1=CC=CC=C1O</v>
      </c>
      <c r="K1726">
        <v>62</v>
      </c>
      <c r="M1726">
        <f t="shared" si="106"/>
        <v>5.4037971934950142E-2</v>
      </c>
      <c r="N1726">
        <f t="shared" si="107"/>
        <v>-0.32538502792976365</v>
      </c>
    </row>
    <row r="1727" spans="1:14" x14ac:dyDescent="0.35">
      <c r="A1727">
        <v>1725</v>
      </c>
      <c r="B1727" t="s">
        <v>8</v>
      </c>
      <c r="C1727" t="s">
        <v>50</v>
      </c>
      <c r="D1727">
        <v>0.2</v>
      </c>
      <c r="E1727">
        <v>0.8</v>
      </c>
      <c r="F1727">
        <v>323.14999999999998</v>
      </c>
      <c r="G1727">
        <v>58.9</v>
      </c>
      <c r="H1727">
        <f t="shared" si="104"/>
        <v>-6.27</v>
      </c>
      <c r="I1727">
        <v>1.8922285832099397E-3</v>
      </c>
      <c r="J1727" t="str">
        <f t="shared" si="105"/>
        <v>CC[NH2+]CC.[Cl-]COC1=CC=CC=C1O</v>
      </c>
      <c r="K1727">
        <v>62</v>
      </c>
      <c r="M1727">
        <f t="shared" si="106"/>
        <v>0.83775464848239545</v>
      </c>
      <c r="N1727">
        <f t="shared" si="107"/>
        <v>-0.5884169942111237</v>
      </c>
    </row>
    <row r="1728" spans="1:14" x14ac:dyDescent="0.35">
      <c r="A1728">
        <v>1726</v>
      </c>
      <c r="B1728" t="s">
        <v>8</v>
      </c>
      <c r="C1728" t="s">
        <v>50</v>
      </c>
      <c r="D1728">
        <v>0.2</v>
      </c>
      <c r="E1728">
        <v>0.8</v>
      </c>
      <c r="F1728">
        <v>323.14999999999998</v>
      </c>
      <c r="G1728">
        <v>148.4</v>
      </c>
      <c r="H1728">
        <f t="shared" si="104"/>
        <v>-5.3</v>
      </c>
      <c r="I1728">
        <v>4.991593906910217E-3</v>
      </c>
      <c r="J1728" t="str">
        <f t="shared" si="105"/>
        <v>CC[NH2+]CC.[Cl-]COC1=CC=CC=C1O</v>
      </c>
      <c r="K1728">
        <v>62</v>
      </c>
      <c r="M1728">
        <f t="shared" si="106"/>
        <v>0.83775464848239545</v>
      </c>
      <c r="N1728">
        <f t="shared" si="107"/>
        <v>-0.53836094279249369</v>
      </c>
    </row>
    <row r="1729" spans="1:14" x14ac:dyDescent="0.35">
      <c r="A1729">
        <v>1727</v>
      </c>
      <c r="B1729" t="s">
        <v>8</v>
      </c>
      <c r="C1729" t="s">
        <v>50</v>
      </c>
      <c r="D1729">
        <v>0.2</v>
      </c>
      <c r="E1729">
        <v>0.8</v>
      </c>
      <c r="F1729">
        <v>323.14999999999998</v>
      </c>
      <c r="G1729">
        <v>230.1</v>
      </c>
      <c r="H1729">
        <f t="shared" si="104"/>
        <v>-4.88</v>
      </c>
      <c r="I1729">
        <v>7.597014027577567E-3</v>
      </c>
      <c r="J1729" t="str">
        <f t="shared" si="105"/>
        <v>CC[NH2+]CC.[Cl-]COC1=CC=CC=C1O</v>
      </c>
      <c r="K1729">
        <v>62</v>
      </c>
      <c r="M1729">
        <f t="shared" si="106"/>
        <v>0.83775464848239545</v>
      </c>
      <c r="N1729">
        <f t="shared" si="107"/>
        <v>-0.49266731820140897</v>
      </c>
    </row>
    <row r="1730" spans="1:14" x14ac:dyDescent="0.35">
      <c r="A1730">
        <v>1728</v>
      </c>
      <c r="B1730" t="s">
        <v>8</v>
      </c>
      <c r="C1730" t="s">
        <v>50</v>
      </c>
      <c r="D1730">
        <v>0.2</v>
      </c>
      <c r="E1730">
        <v>0.8</v>
      </c>
      <c r="F1730">
        <v>323.14999999999998</v>
      </c>
      <c r="G1730">
        <v>337.7</v>
      </c>
      <c r="H1730">
        <f t="shared" si="104"/>
        <v>-4.4800000000000004</v>
      </c>
      <c r="I1730">
        <v>1.1333413154667387E-2</v>
      </c>
      <c r="J1730" t="str">
        <f t="shared" si="105"/>
        <v>CC[NH2+]CC.[Cl-]COC1=CC=CC=C1O</v>
      </c>
      <c r="K1730">
        <v>62</v>
      </c>
      <c r="M1730">
        <f t="shared" si="106"/>
        <v>0.83775464848239545</v>
      </c>
      <c r="N1730">
        <f t="shared" si="107"/>
        <v>-0.43248819940091071</v>
      </c>
    </row>
    <row r="1731" spans="1:14" x14ac:dyDescent="0.35">
      <c r="A1731">
        <v>1729</v>
      </c>
      <c r="B1731" t="s">
        <v>8</v>
      </c>
      <c r="C1731" t="s">
        <v>50</v>
      </c>
      <c r="D1731">
        <v>0.2</v>
      </c>
      <c r="E1731">
        <v>0.8</v>
      </c>
      <c r="F1731">
        <v>323.14999999999998</v>
      </c>
      <c r="G1731">
        <v>430.4</v>
      </c>
      <c r="H1731">
        <f t="shared" ref="H1731:H1794" si="108">LN(I1731)</f>
        <v>-4.24</v>
      </c>
      <c r="I1731">
        <v>1.440759184311235E-2</v>
      </c>
      <c r="J1731" t="str">
        <f t="shared" ref="J1731:J1794" si="109">_xlfn.CONCAT(B1731,C1731)</f>
        <v>CC[NH2+]CC.[Cl-]COC1=CC=CC=C1O</v>
      </c>
      <c r="K1731">
        <v>62</v>
      </c>
      <c r="M1731">
        <f t="shared" ref="M1731:M1794" si="110">(F1731-$L$3)/$L$2</f>
        <v>0.83775464848239545</v>
      </c>
      <c r="N1731">
        <f t="shared" ref="N1731:N1794" si="111">(G1731-$L$6)/$L$5</f>
        <v>-0.38064243441200563</v>
      </c>
    </row>
    <row r="1732" spans="1:14" x14ac:dyDescent="0.35">
      <c r="A1732">
        <v>1730</v>
      </c>
      <c r="B1732" t="s">
        <v>8</v>
      </c>
      <c r="C1732" t="s">
        <v>50</v>
      </c>
      <c r="D1732">
        <v>0.2</v>
      </c>
      <c r="E1732">
        <v>0.8</v>
      </c>
      <c r="F1732">
        <v>323.14999999999998</v>
      </c>
      <c r="G1732">
        <v>526.79999999999995</v>
      </c>
      <c r="H1732">
        <f t="shared" si="108"/>
        <v>-4.0455543980526683</v>
      </c>
      <c r="I1732">
        <v>1.7500000000000002E-2</v>
      </c>
      <c r="J1732" t="str">
        <f t="shared" si="109"/>
        <v>CC[NH2+]CC.[Cl-]COC1=CC=CC=C1O</v>
      </c>
      <c r="K1732">
        <v>62</v>
      </c>
      <c r="M1732">
        <f t="shared" si="110"/>
        <v>0.83775464848239545</v>
      </c>
      <c r="N1732">
        <f t="shared" si="111"/>
        <v>-0.32672731310747</v>
      </c>
    </row>
    <row r="1733" spans="1:14" x14ac:dyDescent="0.35">
      <c r="A1733">
        <v>1731</v>
      </c>
      <c r="B1733" t="s">
        <v>2</v>
      </c>
      <c r="C1733" t="s">
        <v>50</v>
      </c>
      <c r="D1733">
        <v>0.2</v>
      </c>
      <c r="E1733">
        <v>0.8</v>
      </c>
      <c r="F1733">
        <v>293.14999999999998</v>
      </c>
      <c r="G1733">
        <v>55.1</v>
      </c>
      <c r="H1733">
        <f t="shared" si="108"/>
        <v>-5.95</v>
      </c>
      <c r="I1733">
        <v>2.6058405184084983E-3</v>
      </c>
      <c r="J1733" t="str">
        <f t="shared" si="109"/>
        <v>CC(=O)OCC[N+](C)(C)C.[Cl-]COC1=CC=CC=C1O</v>
      </c>
      <c r="K1733">
        <v>13</v>
      </c>
      <c r="M1733">
        <f t="shared" si="110"/>
        <v>-1.5133953811599403</v>
      </c>
      <c r="N1733">
        <f t="shared" si="111"/>
        <v>-0.59054227907582535</v>
      </c>
    </row>
    <row r="1734" spans="1:14" x14ac:dyDescent="0.35">
      <c r="A1734">
        <v>1732</v>
      </c>
      <c r="B1734" t="s">
        <v>2</v>
      </c>
      <c r="C1734" t="s">
        <v>50</v>
      </c>
      <c r="D1734">
        <v>0.2</v>
      </c>
      <c r="E1734">
        <v>0.8</v>
      </c>
      <c r="F1734">
        <v>293.14999999999998</v>
      </c>
      <c r="G1734">
        <v>138.4</v>
      </c>
      <c r="H1734">
        <f t="shared" si="108"/>
        <v>-4.99</v>
      </c>
      <c r="I1734">
        <v>6.8056644922305431E-3</v>
      </c>
      <c r="J1734" t="str">
        <f t="shared" si="109"/>
        <v>CC(=O)OCC[N+](C)(C)C.[Cl-]COC1=CC=CC=C1O</v>
      </c>
      <c r="K1734">
        <v>13</v>
      </c>
      <c r="M1734">
        <f t="shared" si="110"/>
        <v>-1.5133953811599403</v>
      </c>
      <c r="N1734">
        <f t="shared" si="111"/>
        <v>-0.54395379769960317</v>
      </c>
    </row>
    <row r="1735" spans="1:14" x14ac:dyDescent="0.35">
      <c r="A1735">
        <v>1733</v>
      </c>
      <c r="B1735" t="s">
        <v>2</v>
      </c>
      <c r="C1735" t="s">
        <v>50</v>
      </c>
      <c r="D1735">
        <v>0.2</v>
      </c>
      <c r="E1735">
        <v>0.8</v>
      </c>
      <c r="F1735">
        <v>293.14999999999998</v>
      </c>
      <c r="G1735">
        <v>227.6</v>
      </c>
      <c r="H1735">
        <f t="shared" si="108"/>
        <v>-4.5</v>
      </c>
      <c r="I1735">
        <v>1.1108996538242306E-2</v>
      </c>
      <c r="J1735" t="str">
        <f t="shared" si="109"/>
        <v>CC(=O)OCC[N+](C)(C)C.[Cl-]COC1=CC=CC=C1O</v>
      </c>
      <c r="K1735">
        <v>13</v>
      </c>
      <c r="M1735">
        <f t="shared" si="110"/>
        <v>-1.5133953811599403</v>
      </c>
      <c r="N1735">
        <f t="shared" si="111"/>
        <v>-0.49406553192818636</v>
      </c>
    </row>
    <row r="1736" spans="1:14" x14ac:dyDescent="0.35">
      <c r="A1736">
        <v>1734</v>
      </c>
      <c r="B1736" t="s">
        <v>2</v>
      </c>
      <c r="C1736" t="s">
        <v>50</v>
      </c>
      <c r="D1736">
        <v>0.2</v>
      </c>
      <c r="E1736">
        <v>0.8</v>
      </c>
      <c r="F1736">
        <v>293.14999999999998</v>
      </c>
      <c r="G1736">
        <v>326.39999999999998</v>
      </c>
      <c r="H1736">
        <f t="shared" si="108"/>
        <v>-4.1500000000000004</v>
      </c>
      <c r="I1736">
        <v>1.5764416484854486E-2</v>
      </c>
      <c r="J1736" t="str">
        <f t="shared" si="109"/>
        <v>CC(=O)OCC[N+](C)(C)C.[Cl-]COC1=CC=CC=C1O</v>
      </c>
      <c r="K1736">
        <v>13</v>
      </c>
      <c r="M1736">
        <f t="shared" si="110"/>
        <v>-1.5133953811599403</v>
      </c>
      <c r="N1736">
        <f t="shared" si="111"/>
        <v>-0.4388081254459445</v>
      </c>
    </row>
    <row r="1737" spans="1:14" x14ac:dyDescent="0.35">
      <c r="A1737">
        <v>1735</v>
      </c>
      <c r="B1737" t="s">
        <v>2</v>
      </c>
      <c r="C1737" t="s">
        <v>50</v>
      </c>
      <c r="D1737">
        <v>0.2</v>
      </c>
      <c r="E1737">
        <v>0.8</v>
      </c>
      <c r="F1737">
        <v>293.14999999999998</v>
      </c>
      <c r="G1737">
        <v>422.1</v>
      </c>
      <c r="H1737">
        <f t="shared" si="108"/>
        <v>-3.8873303928377747</v>
      </c>
      <c r="I1737">
        <v>2.0500000000000001E-2</v>
      </c>
      <c r="J1737" t="str">
        <f t="shared" si="109"/>
        <v>CC(=O)OCC[N+](C)(C)C.[Cl-]COC1=CC=CC=C1O</v>
      </c>
      <c r="K1737">
        <v>13</v>
      </c>
      <c r="M1737">
        <f t="shared" si="110"/>
        <v>-1.5133953811599403</v>
      </c>
      <c r="N1737">
        <f t="shared" si="111"/>
        <v>-0.38528450398490649</v>
      </c>
    </row>
    <row r="1738" spans="1:14" x14ac:dyDescent="0.35">
      <c r="A1738">
        <v>1736</v>
      </c>
      <c r="B1738" t="s">
        <v>2</v>
      </c>
      <c r="C1738" t="s">
        <v>50</v>
      </c>
      <c r="D1738">
        <v>0.2</v>
      </c>
      <c r="E1738">
        <v>0.8</v>
      </c>
      <c r="F1738">
        <v>293.14999999999998</v>
      </c>
      <c r="G1738">
        <v>524.9</v>
      </c>
      <c r="H1738">
        <f t="shared" si="108"/>
        <v>-3.68</v>
      </c>
      <c r="I1738">
        <v>2.5222974835227212E-2</v>
      </c>
      <c r="J1738" t="str">
        <f t="shared" si="109"/>
        <v>CC(=O)OCC[N+](C)(C)C.[Cl-]COC1=CC=CC=C1O</v>
      </c>
      <c r="K1738">
        <v>13</v>
      </c>
      <c r="M1738">
        <f t="shared" si="110"/>
        <v>-1.5133953811599403</v>
      </c>
      <c r="N1738">
        <f t="shared" si="111"/>
        <v>-0.32778995553982082</v>
      </c>
    </row>
    <row r="1739" spans="1:14" x14ac:dyDescent="0.35">
      <c r="A1739">
        <v>1737</v>
      </c>
      <c r="B1739" t="s">
        <v>2</v>
      </c>
      <c r="C1739" t="s">
        <v>50</v>
      </c>
      <c r="D1739">
        <v>0.2</v>
      </c>
      <c r="E1739">
        <v>0.8</v>
      </c>
      <c r="F1739">
        <v>303.14999999999998</v>
      </c>
      <c r="G1739">
        <v>54.8</v>
      </c>
      <c r="H1739">
        <f t="shared" si="108"/>
        <v>-6.12</v>
      </c>
      <c r="I1739">
        <v>2.1984559630425313E-3</v>
      </c>
      <c r="J1739" t="str">
        <f t="shared" si="109"/>
        <v>CC(=O)OCC[N+](C)(C)C.[Cl-]COC1=CC=CC=C1O</v>
      </c>
      <c r="K1739">
        <v>13</v>
      </c>
      <c r="M1739">
        <f t="shared" si="110"/>
        <v>-0.72967870461249518</v>
      </c>
      <c r="N1739">
        <f t="shared" si="111"/>
        <v>-0.59071006472303866</v>
      </c>
    </row>
    <row r="1740" spans="1:14" x14ac:dyDescent="0.35">
      <c r="A1740">
        <v>1738</v>
      </c>
      <c r="B1740" t="s">
        <v>2</v>
      </c>
      <c r="C1740" t="s">
        <v>50</v>
      </c>
      <c r="D1740">
        <v>0.2</v>
      </c>
      <c r="E1740">
        <v>0.8</v>
      </c>
      <c r="F1740">
        <v>303.14999999999998</v>
      </c>
      <c r="G1740">
        <v>140.6</v>
      </c>
      <c r="H1740">
        <f t="shared" si="108"/>
        <v>-5.19</v>
      </c>
      <c r="I1740">
        <v>5.5720068149199926E-3</v>
      </c>
      <c r="J1740" t="str">
        <f t="shared" si="109"/>
        <v>CC(=O)OCC[N+](C)(C)C.[Cl-]COC1=CC=CC=C1O</v>
      </c>
      <c r="K1740">
        <v>13</v>
      </c>
      <c r="M1740">
        <f t="shared" si="110"/>
        <v>-0.72967870461249518</v>
      </c>
      <c r="N1740">
        <f t="shared" si="111"/>
        <v>-0.54272336962003909</v>
      </c>
    </row>
    <row r="1741" spans="1:14" x14ac:dyDescent="0.35">
      <c r="A1741">
        <v>1739</v>
      </c>
      <c r="B1741" t="s">
        <v>2</v>
      </c>
      <c r="C1741" t="s">
        <v>50</v>
      </c>
      <c r="D1741">
        <v>0.2</v>
      </c>
      <c r="E1741">
        <v>0.8</v>
      </c>
      <c r="F1741">
        <v>303.14999999999998</v>
      </c>
      <c r="G1741">
        <v>263.7</v>
      </c>
      <c r="H1741">
        <f t="shared" si="108"/>
        <v>-4.53</v>
      </c>
      <c r="I1741">
        <v>1.0780676072743084E-2</v>
      </c>
      <c r="J1741" t="str">
        <f t="shared" si="109"/>
        <v>CC(=O)OCC[N+](C)(C)C.[Cl-]COC1=CC=CC=C1O</v>
      </c>
      <c r="K1741">
        <v>13</v>
      </c>
      <c r="M1741">
        <f t="shared" si="110"/>
        <v>-0.72967870461249518</v>
      </c>
      <c r="N1741">
        <f t="shared" si="111"/>
        <v>-0.47387532571352103</v>
      </c>
    </row>
    <row r="1742" spans="1:14" x14ac:dyDescent="0.35">
      <c r="A1742">
        <v>1740</v>
      </c>
      <c r="B1742" t="s">
        <v>2</v>
      </c>
      <c r="C1742" t="s">
        <v>50</v>
      </c>
      <c r="D1742">
        <v>0.2</v>
      </c>
      <c r="E1742">
        <v>0.8</v>
      </c>
      <c r="F1742">
        <v>303.14999999999998</v>
      </c>
      <c r="G1742">
        <v>338.6</v>
      </c>
      <c r="H1742">
        <f t="shared" si="108"/>
        <v>-4.2758664388454912</v>
      </c>
      <c r="I1742">
        <v>1.3899999999999999E-2</v>
      </c>
      <c r="J1742" t="str">
        <f t="shared" si="109"/>
        <v>CC(=O)OCC[N+](C)(C)C.[Cl-]COC1=CC=CC=C1O</v>
      </c>
      <c r="K1742">
        <v>13</v>
      </c>
      <c r="M1742">
        <f t="shared" si="110"/>
        <v>-0.72967870461249518</v>
      </c>
      <c r="N1742">
        <f t="shared" si="111"/>
        <v>-0.43198484245927088</v>
      </c>
    </row>
    <row r="1743" spans="1:14" x14ac:dyDescent="0.35">
      <c r="A1743">
        <v>1741</v>
      </c>
      <c r="B1743" t="s">
        <v>2</v>
      </c>
      <c r="C1743" t="s">
        <v>50</v>
      </c>
      <c r="D1743">
        <v>0.2</v>
      </c>
      <c r="E1743">
        <v>0.8</v>
      </c>
      <c r="F1743">
        <v>303.14999999999998</v>
      </c>
      <c r="G1743">
        <v>431.8</v>
      </c>
      <c r="H1743">
        <f t="shared" si="108"/>
        <v>-4.0341906394023539</v>
      </c>
      <c r="I1743">
        <v>1.77E-2</v>
      </c>
      <c r="J1743" t="str">
        <f t="shared" si="109"/>
        <v>CC(=O)OCC[N+](C)(C)C.[Cl-]COC1=CC=CC=C1O</v>
      </c>
      <c r="K1743">
        <v>13</v>
      </c>
      <c r="M1743">
        <f t="shared" si="110"/>
        <v>-0.72967870461249518</v>
      </c>
      <c r="N1743">
        <f t="shared" si="111"/>
        <v>-0.37985943472501033</v>
      </c>
    </row>
    <row r="1744" spans="1:14" x14ac:dyDescent="0.35">
      <c r="A1744">
        <v>1742</v>
      </c>
      <c r="B1744" t="s">
        <v>2</v>
      </c>
      <c r="C1744" t="s">
        <v>50</v>
      </c>
      <c r="D1744">
        <v>0.2</v>
      </c>
      <c r="E1744">
        <v>0.8</v>
      </c>
      <c r="F1744">
        <v>303.14999999999998</v>
      </c>
      <c r="G1744">
        <v>558.6</v>
      </c>
      <c r="H1744">
        <f t="shared" si="108"/>
        <v>-3.78</v>
      </c>
      <c r="I1744">
        <v>2.2822691425092981E-2</v>
      </c>
      <c r="J1744" t="str">
        <f t="shared" si="109"/>
        <v>CC(=O)OCC[N+](C)(C)C.[Cl-]COC1=CC=CC=C1O</v>
      </c>
      <c r="K1744">
        <v>13</v>
      </c>
      <c r="M1744">
        <f t="shared" si="110"/>
        <v>-0.72967870461249518</v>
      </c>
      <c r="N1744">
        <f t="shared" si="111"/>
        <v>-0.30894203450286173</v>
      </c>
    </row>
    <row r="1745" spans="1:14" x14ac:dyDescent="0.35">
      <c r="A1745">
        <v>1743</v>
      </c>
      <c r="B1745" t="s">
        <v>2</v>
      </c>
      <c r="C1745" t="s">
        <v>50</v>
      </c>
      <c r="D1745">
        <v>0.2</v>
      </c>
      <c r="E1745">
        <v>0.8</v>
      </c>
      <c r="F1745">
        <v>313.14999999999998</v>
      </c>
      <c r="G1745">
        <v>55.5</v>
      </c>
      <c r="H1745">
        <f t="shared" si="108"/>
        <v>-6.12</v>
      </c>
      <c r="I1745">
        <v>2.1984559630425313E-3</v>
      </c>
      <c r="J1745" t="str">
        <f t="shared" si="109"/>
        <v>CC(=O)OCC[N+](C)(C)C.[Cl-]COC1=CC=CC=C1O</v>
      </c>
      <c r="K1745">
        <v>13</v>
      </c>
      <c r="M1745">
        <f t="shared" si="110"/>
        <v>5.4037971934950142E-2</v>
      </c>
      <c r="N1745">
        <f t="shared" si="111"/>
        <v>-0.59031856487954093</v>
      </c>
    </row>
    <row r="1746" spans="1:14" x14ac:dyDescent="0.35">
      <c r="A1746">
        <v>1744</v>
      </c>
      <c r="B1746" t="s">
        <v>2</v>
      </c>
      <c r="C1746" t="s">
        <v>50</v>
      </c>
      <c r="D1746">
        <v>0.2</v>
      </c>
      <c r="E1746">
        <v>0.8</v>
      </c>
      <c r="F1746">
        <v>313.14999999999998</v>
      </c>
      <c r="G1746">
        <v>140.80000000000001</v>
      </c>
      <c r="H1746">
        <f t="shared" si="108"/>
        <v>-5.24</v>
      </c>
      <c r="I1746">
        <v>5.3002568358704021E-3</v>
      </c>
      <c r="J1746" t="str">
        <f t="shared" si="109"/>
        <v>CC(=O)OCC[N+](C)(C)C.[Cl-]COC1=CC=CC=C1O</v>
      </c>
      <c r="K1746">
        <v>13</v>
      </c>
      <c r="M1746">
        <f t="shared" si="110"/>
        <v>5.4037971934950142E-2</v>
      </c>
      <c r="N1746">
        <f t="shared" si="111"/>
        <v>-0.54261151252189688</v>
      </c>
    </row>
    <row r="1747" spans="1:14" x14ac:dyDescent="0.35">
      <c r="A1747">
        <v>1745</v>
      </c>
      <c r="B1747" t="s">
        <v>2</v>
      </c>
      <c r="C1747" t="s">
        <v>50</v>
      </c>
      <c r="D1747">
        <v>0.2</v>
      </c>
      <c r="E1747">
        <v>0.8</v>
      </c>
      <c r="F1747">
        <v>313.14999999999998</v>
      </c>
      <c r="G1747">
        <v>235.8</v>
      </c>
      <c r="H1747">
        <f t="shared" si="108"/>
        <v>-4.7300000000000004</v>
      </c>
      <c r="I1747">
        <v>8.8264710397267226E-3</v>
      </c>
      <c r="J1747" t="str">
        <f t="shared" si="109"/>
        <v>CC(=O)OCC[N+](C)(C)C.[Cl-]COC1=CC=CC=C1O</v>
      </c>
      <c r="K1747">
        <v>13</v>
      </c>
      <c r="M1747">
        <f t="shared" si="110"/>
        <v>5.4037971934950142E-2</v>
      </c>
      <c r="N1747">
        <f t="shared" si="111"/>
        <v>-0.4894793909043566</v>
      </c>
    </row>
    <row r="1748" spans="1:14" x14ac:dyDescent="0.35">
      <c r="A1748">
        <v>1746</v>
      </c>
      <c r="B1748" t="s">
        <v>2</v>
      </c>
      <c r="C1748" t="s">
        <v>50</v>
      </c>
      <c r="D1748">
        <v>0.2</v>
      </c>
      <c r="E1748">
        <v>0.8</v>
      </c>
      <c r="F1748">
        <v>313.14999999999998</v>
      </c>
      <c r="G1748">
        <v>330.2</v>
      </c>
      <c r="H1748">
        <f t="shared" si="108"/>
        <v>-4.41</v>
      </c>
      <c r="I1748">
        <v>1.2155178329914935E-2</v>
      </c>
      <c r="J1748" t="str">
        <f t="shared" si="109"/>
        <v>CC(=O)OCC[N+](C)(C)C.[Cl-]COC1=CC=CC=C1O</v>
      </c>
      <c r="K1748">
        <v>13</v>
      </c>
      <c r="M1748">
        <f t="shared" si="110"/>
        <v>5.4037971934950142E-2</v>
      </c>
      <c r="N1748">
        <f t="shared" si="111"/>
        <v>-0.43668284058124285</v>
      </c>
    </row>
    <row r="1749" spans="1:14" x14ac:dyDescent="0.35">
      <c r="A1749">
        <v>1747</v>
      </c>
      <c r="B1749" t="s">
        <v>2</v>
      </c>
      <c r="C1749" t="s">
        <v>50</v>
      </c>
      <c r="D1749">
        <v>0.2</v>
      </c>
      <c r="E1749">
        <v>0.8</v>
      </c>
      <c r="F1749">
        <v>313.14999999999998</v>
      </c>
      <c r="G1749">
        <v>438.8</v>
      </c>
      <c r="H1749">
        <f t="shared" si="108"/>
        <v>-4.13</v>
      </c>
      <c r="I1749">
        <v>1.6082878822588433E-2</v>
      </c>
      <c r="J1749" t="str">
        <f t="shared" si="109"/>
        <v>CC(=O)OCC[N+](C)(C)C.[Cl-]COC1=CC=CC=C1O</v>
      </c>
      <c r="K1749">
        <v>13</v>
      </c>
      <c r="M1749">
        <f t="shared" si="110"/>
        <v>5.4037971934950142E-2</v>
      </c>
      <c r="N1749">
        <f t="shared" si="111"/>
        <v>-0.37594443629003366</v>
      </c>
    </row>
    <row r="1750" spans="1:14" x14ac:dyDescent="0.35">
      <c r="A1750">
        <v>1748</v>
      </c>
      <c r="B1750" t="s">
        <v>2</v>
      </c>
      <c r="C1750" t="s">
        <v>50</v>
      </c>
      <c r="D1750">
        <v>0.2</v>
      </c>
      <c r="E1750">
        <v>0.8</v>
      </c>
      <c r="F1750">
        <v>313.14999999999998</v>
      </c>
      <c r="G1750">
        <v>531.5</v>
      </c>
      <c r="H1750">
        <f t="shared" si="108"/>
        <v>-3.9373408134124359</v>
      </c>
      <c r="I1750">
        <v>1.95E-2</v>
      </c>
      <c r="J1750" t="str">
        <f t="shared" si="109"/>
        <v>CC(=O)OCC[N+](C)(C)C.[Cl-]COC1=CC=CC=C1O</v>
      </c>
      <c r="K1750">
        <v>13</v>
      </c>
      <c r="M1750">
        <f t="shared" si="110"/>
        <v>5.4037971934950142E-2</v>
      </c>
      <c r="N1750">
        <f t="shared" si="111"/>
        <v>-0.32409867130112852</v>
      </c>
    </row>
    <row r="1751" spans="1:14" x14ac:dyDescent="0.35">
      <c r="A1751">
        <v>1749</v>
      </c>
      <c r="B1751" t="s">
        <v>2</v>
      </c>
      <c r="C1751" t="s">
        <v>50</v>
      </c>
      <c r="D1751">
        <v>0.2</v>
      </c>
      <c r="E1751">
        <v>0.8</v>
      </c>
      <c r="F1751">
        <v>323.14999999999998</v>
      </c>
      <c r="G1751">
        <v>53</v>
      </c>
      <c r="H1751">
        <f t="shared" si="108"/>
        <v>-6.38</v>
      </c>
      <c r="I1751">
        <v>1.6951229566232505E-3</v>
      </c>
      <c r="J1751" t="str">
        <f t="shared" si="109"/>
        <v>CC(=O)OCC[N+](C)(C)C.[Cl-]COC1=CC=CC=C1O</v>
      </c>
      <c r="K1751">
        <v>13</v>
      </c>
      <c r="M1751">
        <f t="shared" si="110"/>
        <v>0.83775464848239545</v>
      </c>
      <c r="N1751">
        <f t="shared" si="111"/>
        <v>-0.59171677860631833</v>
      </c>
    </row>
    <row r="1752" spans="1:14" x14ac:dyDescent="0.35">
      <c r="A1752">
        <v>1750</v>
      </c>
      <c r="B1752" t="s">
        <v>2</v>
      </c>
      <c r="C1752" t="s">
        <v>50</v>
      </c>
      <c r="D1752">
        <v>0.2</v>
      </c>
      <c r="E1752">
        <v>0.8</v>
      </c>
      <c r="F1752">
        <v>323.14999999999998</v>
      </c>
      <c r="G1752">
        <v>165.3</v>
      </c>
      <c r="H1752">
        <f t="shared" si="108"/>
        <v>-5.24</v>
      </c>
      <c r="I1752">
        <v>5.3002568358704021E-3</v>
      </c>
      <c r="J1752" t="str">
        <f t="shared" si="109"/>
        <v>CC(=O)OCC[N+](C)(C)C.[Cl-]COC1=CC=CC=C1O</v>
      </c>
      <c r="K1752">
        <v>13</v>
      </c>
      <c r="M1752">
        <f t="shared" si="110"/>
        <v>0.83775464848239545</v>
      </c>
      <c r="N1752">
        <f t="shared" si="111"/>
        <v>-0.52890901799947865</v>
      </c>
    </row>
    <row r="1753" spans="1:14" x14ac:dyDescent="0.35">
      <c r="A1753">
        <v>1751</v>
      </c>
      <c r="B1753" t="s">
        <v>2</v>
      </c>
      <c r="C1753" t="s">
        <v>50</v>
      </c>
      <c r="D1753">
        <v>0.2</v>
      </c>
      <c r="E1753">
        <v>0.8</v>
      </c>
      <c r="F1753">
        <v>323.14999999999998</v>
      </c>
      <c r="G1753">
        <v>241.6</v>
      </c>
      <c r="H1753">
        <f t="shared" si="108"/>
        <v>-4.8499999999999996</v>
      </c>
      <c r="I1753">
        <v>7.8283775492257734E-3</v>
      </c>
      <c r="J1753" t="str">
        <f t="shared" si="109"/>
        <v>CC(=O)OCC[N+](C)(C)C.[Cl-]COC1=CC=CC=C1O</v>
      </c>
      <c r="K1753">
        <v>13</v>
      </c>
      <c r="M1753">
        <f t="shared" si="110"/>
        <v>0.83775464848239545</v>
      </c>
      <c r="N1753">
        <f t="shared" si="111"/>
        <v>-0.48623553505823308</v>
      </c>
    </row>
    <row r="1754" spans="1:14" x14ac:dyDescent="0.35">
      <c r="A1754">
        <v>1752</v>
      </c>
      <c r="B1754" t="s">
        <v>2</v>
      </c>
      <c r="C1754" t="s">
        <v>50</v>
      </c>
      <c r="D1754">
        <v>0.2</v>
      </c>
      <c r="E1754">
        <v>0.8</v>
      </c>
      <c r="F1754">
        <v>323.14999999999998</v>
      </c>
      <c r="G1754">
        <v>339.3</v>
      </c>
      <c r="H1754">
        <f t="shared" si="108"/>
        <v>-4.5199999999999996</v>
      </c>
      <c r="I1754">
        <v>1.0889023668554451E-2</v>
      </c>
      <c r="J1754" t="str">
        <f t="shared" si="109"/>
        <v>CC(=O)OCC[N+](C)(C)C.[Cl-]COC1=CC=CC=C1O</v>
      </c>
      <c r="K1754">
        <v>13</v>
      </c>
      <c r="M1754">
        <f t="shared" si="110"/>
        <v>0.83775464848239545</v>
      </c>
      <c r="N1754">
        <f t="shared" si="111"/>
        <v>-0.4315933426157732</v>
      </c>
    </row>
    <row r="1755" spans="1:14" x14ac:dyDescent="0.35">
      <c r="A1755">
        <v>1753</v>
      </c>
      <c r="B1755" t="s">
        <v>2</v>
      </c>
      <c r="C1755" t="s">
        <v>50</v>
      </c>
      <c r="D1755">
        <v>0.2</v>
      </c>
      <c r="E1755">
        <v>0.8</v>
      </c>
      <c r="F1755">
        <v>323.14999999999998</v>
      </c>
      <c r="G1755">
        <v>437.4</v>
      </c>
      <c r="H1755">
        <f t="shared" si="108"/>
        <v>-4.2545133143749219</v>
      </c>
      <c r="I1755">
        <v>1.4200000000000001E-2</v>
      </c>
      <c r="J1755" t="str">
        <f t="shared" si="109"/>
        <v>CC(=O)OCC[N+](C)(C)C.[Cl-]COC1=CC=CC=C1O</v>
      </c>
      <c r="K1755">
        <v>13</v>
      </c>
      <c r="M1755">
        <f t="shared" si="110"/>
        <v>0.83775464848239545</v>
      </c>
      <c r="N1755">
        <f t="shared" si="111"/>
        <v>-0.37672743597702896</v>
      </c>
    </row>
    <row r="1756" spans="1:14" x14ac:dyDescent="0.35">
      <c r="A1756">
        <v>1754</v>
      </c>
      <c r="B1756" t="s">
        <v>2</v>
      </c>
      <c r="C1756" t="s">
        <v>50</v>
      </c>
      <c r="D1756">
        <v>0.2</v>
      </c>
      <c r="E1756">
        <v>0.8</v>
      </c>
      <c r="F1756">
        <v>323.14999999999998</v>
      </c>
      <c r="G1756">
        <v>536</v>
      </c>
      <c r="H1756">
        <f t="shared" si="108"/>
        <v>-4.0570487774784034</v>
      </c>
      <c r="I1756">
        <v>1.7299999999999999E-2</v>
      </c>
      <c r="J1756" t="str">
        <f t="shared" si="109"/>
        <v>CC(=O)OCC[N+](C)(C)C.[Cl-]COC1=CC=CC=C1O</v>
      </c>
      <c r="K1756">
        <v>13</v>
      </c>
      <c r="M1756">
        <f t="shared" si="110"/>
        <v>0.83775464848239545</v>
      </c>
      <c r="N1756">
        <f t="shared" si="111"/>
        <v>-0.32158188659292924</v>
      </c>
    </row>
    <row r="1757" spans="1:14" x14ac:dyDescent="0.35">
      <c r="A1757">
        <v>1755</v>
      </c>
      <c r="B1757" t="s">
        <v>13</v>
      </c>
      <c r="C1757" t="s">
        <v>58</v>
      </c>
      <c r="D1757">
        <v>0.2</v>
      </c>
      <c r="E1757">
        <v>0.8</v>
      </c>
      <c r="F1757">
        <v>313.14999999999998</v>
      </c>
      <c r="G1757">
        <v>234.5</v>
      </c>
      <c r="H1757">
        <f t="shared" si="108"/>
        <v>-3.5370171048046903</v>
      </c>
      <c r="I1757">
        <v>2.9100000000000001E-2</v>
      </c>
      <c r="J1757" t="str">
        <f t="shared" si="109"/>
        <v>CCCC[P+](CCCC)(CCCC)CCCC.[Br-]C1=CC=C(C=C1)O</v>
      </c>
      <c r="K1757">
        <v>44</v>
      </c>
      <c r="M1757">
        <f t="shared" si="110"/>
        <v>5.4037971934950142E-2</v>
      </c>
      <c r="N1757">
        <f t="shared" si="111"/>
        <v>-0.4902064620422808</v>
      </c>
    </row>
    <row r="1758" spans="1:14" x14ac:dyDescent="0.35">
      <c r="A1758">
        <v>1756</v>
      </c>
      <c r="B1758" t="s">
        <v>13</v>
      </c>
      <c r="C1758" t="s">
        <v>58</v>
      </c>
      <c r="D1758">
        <v>0.2</v>
      </c>
      <c r="E1758">
        <v>0.8</v>
      </c>
      <c r="F1758">
        <v>313.14999999999998</v>
      </c>
      <c r="G1758">
        <v>463.6</v>
      </c>
      <c r="H1758">
        <f t="shared" si="108"/>
        <v>-2.94</v>
      </c>
      <c r="I1758">
        <v>5.2865728738350368E-2</v>
      </c>
      <c r="J1758" t="str">
        <f t="shared" si="109"/>
        <v>CCCC[P+](CCCC)(CCCC)CCCC.[Br-]C1=CC=C(C=C1)O</v>
      </c>
      <c r="K1758">
        <v>44</v>
      </c>
      <c r="M1758">
        <f t="shared" si="110"/>
        <v>5.4037971934950142E-2</v>
      </c>
      <c r="N1758">
        <f t="shared" si="111"/>
        <v>-0.36207415612040206</v>
      </c>
    </row>
    <row r="1759" spans="1:14" x14ac:dyDescent="0.35">
      <c r="A1759">
        <v>1757</v>
      </c>
      <c r="B1759" t="s">
        <v>13</v>
      </c>
      <c r="C1759" t="s">
        <v>58</v>
      </c>
      <c r="D1759">
        <v>0.2</v>
      </c>
      <c r="E1759">
        <v>0.8</v>
      </c>
      <c r="F1759">
        <v>313.14999999999998</v>
      </c>
      <c r="G1759">
        <v>737</v>
      </c>
      <c r="H1759">
        <f t="shared" si="108"/>
        <v>-2.3507254683219805</v>
      </c>
      <c r="I1759">
        <v>9.5299999999999996E-2</v>
      </c>
      <c r="J1759" t="str">
        <f t="shared" si="109"/>
        <v>CCCC[P+](CCCC)(CCCC)CCCC.[Br-]C1=CC=C(C=C1)O</v>
      </c>
      <c r="K1759">
        <v>44</v>
      </c>
      <c r="M1759">
        <f t="shared" si="110"/>
        <v>5.4037971934950142E-2</v>
      </c>
      <c r="N1759">
        <f t="shared" si="111"/>
        <v>-0.20916550296002817</v>
      </c>
    </row>
    <row r="1760" spans="1:14" x14ac:dyDescent="0.35">
      <c r="A1760">
        <v>1758</v>
      </c>
      <c r="B1760" t="s">
        <v>13</v>
      </c>
      <c r="C1760" t="s">
        <v>58</v>
      </c>
      <c r="D1760">
        <v>0.2</v>
      </c>
      <c r="E1760">
        <v>0.8</v>
      </c>
      <c r="F1760">
        <v>313.14999999999998</v>
      </c>
      <c r="G1760">
        <v>932</v>
      </c>
      <c r="H1760">
        <f t="shared" si="108"/>
        <v>-2.0939462278827174</v>
      </c>
      <c r="I1760">
        <v>0.1232</v>
      </c>
      <c r="J1760" t="str">
        <f t="shared" si="109"/>
        <v>CCCC[P+](CCCC)(CCCC)CCCC.[Br-]C1=CC=C(C=C1)O</v>
      </c>
      <c r="K1760">
        <v>44</v>
      </c>
      <c r="M1760">
        <f t="shared" si="110"/>
        <v>5.4037971934950142E-2</v>
      </c>
      <c r="N1760">
        <f t="shared" si="111"/>
        <v>-0.10010483227139283</v>
      </c>
    </row>
    <row r="1761" spans="1:14" x14ac:dyDescent="0.35">
      <c r="A1761">
        <v>1759</v>
      </c>
      <c r="B1761" t="s">
        <v>13</v>
      </c>
      <c r="C1761" t="s">
        <v>58</v>
      </c>
      <c r="D1761">
        <v>0.2</v>
      </c>
      <c r="E1761">
        <v>0.8</v>
      </c>
      <c r="F1761">
        <v>313.14999999999998</v>
      </c>
      <c r="G1761">
        <v>1188.8</v>
      </c>
      <c r="H1761">
        <f t="shared" si="108"/>
        <v>-1.8496004689179049</v>
      </c>
      <c r="I1761">
        <v>0.1573</v>
      </c>
      <c r="J1761" t="str">
        <f t="shared" si="109"/>
        <v>CCCC[P+](CCCC)(CCCC)CCCC.[Br-]C1=CC=C(C=C1)O</v>
      </c>
      <c r="K1761">
        <v>44</v>
      </c>
      <c r="M1761">
        <f t="shared" si="110"/>
        <v>5.4037971934950142E-2</v>
      </c>
      <c r="N1761">
        <f t="shared" si="111"/>
        <v>4.3519681743179245E-2</v>
      </c>
    </row>
    <row r="1762" spans="1:14" x14ac:dyDescent="0.35">
      <c r="A1762">
        <v>1760</v>
      </c>
      <c r="B1762" t="s">
        <v>13</v>
      </c>
      <c r="C1762" t="s">
        <v>58</v>
      </c>
      <c r="D1762">
        <v>0.2</v>
      </c>
      <c r="E1762">
        <v>0.8</v>
      </c>
      <c r="F1762">
        <v>313.14999999999998</v>
      </c>
      <c r="G1762">
        <v>1578.5</v>
      </c>
      <c r="H1762">
        <f t="shared" si="108"/>
        <v>-1.5857213858167842</v>
      </c>
      <c r="I1762">
        <v>0.20480000000000001</v>
      </c>
      <c r="J1762" t="str">
        <f t="shared" si="109"/>
        <v>CCCC[P+](CCCC)(CCCC)CCCC.[Br-]C1=CC=C(C=C1)O</v>
      </c>
      <c r="K1762">
        <v>44</v>
      </c>
      <c r="M1762">
        <f t="shared" si="110"/>
        <v>5.4037971934950142E-2</v>
      </c>
      <c r="N1762">
        <f t="shared" si="111"/>
        <v>0.2614732374732367</v>
      </c>
    </row>
    <row r="1763" spans="1:14" x14ac:dyDescent="0.35">
      <c r="A1763">
        <v>1761</v>
      </c>
      <c r="B1763" t="s">
        <v>13</v>
      </c>
      <c r="C1763" t="s">
        <v>58</v>
      </c>
      <c r="D1763">
        <v>0.2</v>
      </c>
      <c r="E1763">
        <v>0.8</v>
      </c>
      <c r="F1763">
        <v>323.14999999999998</v>
      </c>
      <c r="G1763">
        <v>163.80000000000001</v>
      </c>
      <c r="H1763">
        <f t="shared" si="108"/>
        <v>-1.6713133161521878</v>
      </c>
      <c r="I1763">
        <v>0.188</v>
      </c>
      <c r="J1763" t="str">
        <f t="shared" si="109"/>
        <v>CCCC[P+](CCCC)(CCCC)CCCC.[Br-]C1=CC=C(C=C1)O</v>
      </c>
      <c r="K1763">
        <v>44</v>
      </c>
      <c r="M1763">
        <f t="shared" si="110"/>
        <v>0.83775464848239545</v>
      </c>
      <c r="N1763">
        <f t="shared" si="111"/>
        <v>-0.529747946235545</v>
      </c>
    </row>
    <row r="1764" spans="1:14" x14ac:dyDescent="0.35">
      <c r="A1764">
        <v>1762</v>
      </c>
      <c r="B1764" t="s">
        <v>13</v>
      </c>
      <c r="C1764" t="s">
        <v>58</v>
      </c>
      <c r="D1764">
        <v>0.2</v>
      </c>
      <c r="E1764">
        <v>0.8</v>
      </c>
      <c r="F1764">
        <v>323.14999999999998</v>
      </c>
      <c r="G1764">
        <v>399</v>
      </c>
      <c r="H1764">
        <f t="shared" si="108"/>
        <v>-3.22</v>
      </c>
      <c r="I1764">
        <v>3.9955058260653896E-2</v>
      </c>
      <c r="J1764" t="str">
        <f t="shared" si="109"/>
        <v>CCCC[P+](CCCC)(CCCC)CCCC.[Br-]C1=CC=C(C=C1)O</v>
      </c>
      <c r="K1764">
        <v>44</v>
      </c>
      <c r="M1764">
        <f t="shared" si="110"/>
        <v>0.83775464848239545</v>
      </c>
      <c r="N1764">
        <f t="shared" si="111"/>
        <v>-0.39820399882032947</v>
      </c>
    </row>
    <row r="1765" spans="1:14" x14ac:dyDescent="0.35">
      <c r="A1765">
        <v>1763</v>
      </c>
      <c r="B1765" t="s">
        <v>13</v>
      </c>
      <c r="C1765" t="s">
        <v>58</v>
      </c>
      <c r="D1765">
        <v>0.2</v>
      </c>
      <c r="E1765">
        <v>0.8</v>
      </c>
      <c r="F1765">
        <v>323.14999999999998</v>
      </c>
      <c r="G1765">
        <v>608.4</v>
      </c>
      <c r="H1765">
        <f t="shared" si="108"/>
        <v>-2.69</v>
      </c>
      <c r="I1765">
        <v>6.7880939371761442E-2</v>
      </c>
      <c r="J1765" t="str">
        <f t="shared" si="109"/>
        <v>CCCC[P+](CCCC)(CCCC)CCCC.[Br-]C1=CC=C(C=C1)O</v>
      </c>
      <c r="K1765">
        <v>44</v>
      </c>
      <c r="M1765">
        <f t="shared" si="110"/>
        <v>0.83775464848239545</v>
      </c>
      <c r="N1765">
        <f t="shared" si="111"/>
        <v>-0.28108961706545643</v>
      </c>
    </row>
    <row r="1766" spans="1:14" x14ac:dyDescent="0.35">
      <c r="A1766">
        <v>1764</v>
      </c>
      <c r="B1766" t="s">
        <v>13</v>
      </c>
      <c r="C1766" t="s">
        <v>58</v>
      </c>
      <c r="D1766">
        <v>0.2</v>
      </c>
      <c r="E1766">
        <v>0.8</v>
      </c>
      <c r="F1766">
        <v>323.14999999999998</v>
      </c>
      <c r="G1766">
        <v>786.9</v>
      </c>
      <c r="H1766">
        <f t="shared" si="108"/>
        <v>-2.39</v>
      </c>
      <c r="I1766">
        <v>9.1629683877504836E-2</v>
      </c>
      <c r="J1766" t="str">
        <f t="shared" si="109"/>
        <v>CCCC[P+](CCCC)(CCCC)CCCC.[Br-]C1=CC=C(C=C1)O</v>
      </c>
      <c r="K1766">
        <v>44</v>
      </c>
      <c r="M1766">
        <f t="shared" si="110"/>
        <v>0.83775464848239545</v>
      </c>
      <c r="N1766">
        <f t="shared" si="111"/>
        <v>-0.18125715697355177</v>
      </c>
    </row>
    <row r="1767" spans="1:14" x14ac:dyDescent="0.35">
      <c r="A1767">
        <v>1765</v>
      </c>
      <c r="B1767" t="s">
        <v>13</v>
      </c>
      <c r="C1767" t="s">
        <v>58</v>
      </c>
      <c r="D1767">
        <v>0.2</v>
      </c>
      <c r="E1767">
        <v>0.8</v>
      </c>
      <c r="F1767">
        <v>323.14999999999998</v>
      </c>
      <c r="G1767">
        <v>1018.7</v>
      </c>
      <c r="H1767">
        <f t="shared" si="108"/>
        <v>-2.09</v>
      </c>
      <c r="I1767">
        <v>0.12368713581745483</v>
      </c>
      <c r="J1767" t="str">
        <f t="shared" si="109"/>
        <v>CCCC[P+](CCCC)(CCCC)CCCC.[Br-]C1=CC=C(C=C1)O</v>
      </c>
      <c r="K1767">
        <v>44</v>
      </c>
      <c r="M1767">
        <f t="shared" si="110"/>
        <v>0.83775464848239545</v>
      </c>
      <c r="N1767">
        <f t="shared" si="111"/>
        <v>-5.1614780226753393E-2</v>
      </c>
    </row>
    <row r="1768" spans="1:14" x14ac:dyDescent="0.35">
      <c r="A1768">
        <v>1766</v>
      </c>
      <c r="B1768" t="s">
        <v>13</v>
      </c>
      <c r="C1768" t="s">
        <v>58</v>
      </c>
      <c r="D1768">
        <v>0.2</v>
      </c>
      <c r="E1768">
        <v>0.8</v>
      </c>
      <c r="F1768">
        <v>323.14999999999998</v>
      </c>
      <c r="G1768">
        <v>1241.2</v>
      </c>
      <c r="H1768">
        <f t="shared" si="108"/>
        <v>-1.8951219822232084</v>
      </c>
      <c r="I1768">
        <v>0.15029999999999999</v>
      </c>
      <c r="J1768" t="str">
        <f t="shared" si="109"/>
        <v>CCCC[P+](CCCC)(CCCC)CCCC.[Br-]C1=CC=C(C=C1)O</v>
      </c>
      <c r="K1768">
        <v>44</v>
      </c>
      <c r="M1768">
        <f t="shared" si="110"/>
        <v>0.83775464848239545</v>
      </c>
      <c r="N1768">
        <f t="shared" si="111"/>
        <v>7.28262414564331E-2</v>
      </c>
    </row>
    <row r="1769" spans="1:14" x14ac:dyDescent="0.35">
      <c r="A1769">
        <v>1767</v>
      </c>
      <c r="B1769" t="s">
        <v>13</v>
      </c>
      <c r="C1769" t="s">
        <v>58</v>
      </c>
      <c r="D1769">
        <v>0.2</v>
      </c>
      <c r="E1769">
        <v>0.8</v>
      </c>
      <c r="F1769">
        <v>333.15</v>
      </c>
      <c r="G1769">
        <v>203.4</v>
      </c>
      <c r="H1769">
        <f t="shared" si="108"/>
        <v>-3.9954046143671973</v>
      </c>
      <c r="I1769">
        <v>1.84E-2</v>
      </c>
      <c r="J1769" t="str">
        <f t="shared" si="109"/>
        <v>CCCC[P+](CCCC)(CCCC)CCCC.[Br-]C1=CC=C(C=C1)O</v>
      </c>
      <c r="K1769">
        <v>44</v>
      </c>
      <c r="M1769">
        <f t="shared" si="110"/>
        <v>1.6214713250298407</v>
      </c>
      <c r="N1769">
        <f t="shared" si="111"/>
        <v>-0.50760024080339139</v>
      </c>
    </row>
    <row r="1770" spans="1:14" x14ac:dyDescent="0.35">
      <c r="A1770">
        <v>1768</v>
      </c>
      <c r="B1770" t="s">
        <v>13</v>
      </c>
      <c r="C1770" t="s">
        <v>58</v>
      </c>
      <c r="D1770">
        <v>0.2</v>
      </c>
      <c r="E1770">
        <v>0.8</v>
      </c>
      <c r="F1770">
        <v>333.15</v>
      </c>
      <c r="G1770">
        <v>481.2</v>
      </c>
      <c r="H1770">
        <f t="shared" si="108"/>
        <v>-3.18689277901515</v>
      </c>
      <c r="I1770">
        <v>4.1300000000000003E-2</v>
      </c>
      <c r="J1770" t="str">
        <f t="shared" si="109"/>
        <v>CCCC[P+](CCCC)(CCCC)CCCC.[Br-]C1=CC=C(C=C1)O</v>
      </c>
      <c r="K1770">
        <v>44</v>
      </c>
      <c r="M1770">
        <f t="shared" si="110"/>
        <v>1.6214713250298407</v>
      </c>
      <c r="N1770">
        <f t="shared" si="111"/>
        <v>-0.35223073148388928</v>
      </c>
    </row>
    <row r="1771" spans="1:14" x14ac:dyDescent="0.35">
      <c r="A1771">
        <v>1769</v>
      </c>
      <c r="B1771" t="s">
        <v>13</v>
      </c>
      <c r="C1771" t="s">
        <v>58</v>
      </c>
      <c r="D1771">
        <v>0.2</v>
      </c>
      <c r="E1771">
        <v>0.8</v>
      </c>
      <c r="F1771">
        <v>333.15</v>
      </c>
      <c r="G1771">
        <v>601.70000000000005</v>
      </c>
      <c r="H1771">
        <f t="shared" si="108"/>
        <v>-2.8387285247443264</v>
      </c>
      <c r="I1771">
        <v>5.8500000000000003E-2</v>
      </c>
      <c r="J1771" t="str">
        <f t="shared" si="109"/>
        <v>CCCC[P+](CCCC)(CCCC)CCCC.[Br-]C1=CC=C(C=C1)O</v>
      </c>
      <c r="K1771">
        <v>44</v>
      </c>
      <c r="M1771">
        <f t="shared" si="110"/>
        <v>1.6214713250298407</v>
      </c>
      <c r="N1771">
        <f t="shared" si="111"/>
        <v>-0.28483682985321979</v>
      </c>
    </row>
    <row r="1772" spans="1:14" x14ac:dyDescent="0.35">
      <c r="A1772">
        <v>1770</v>
      </c>
      <c r="B1772" t="s">
        <v>13</v>
      </c>
      <c r="C1772" t="s">
        <v>58</v>
      </c>
      <c r="D1772">
        <v>0.2</v>
      </c>
      <c r="E1772">
        <v>0.8</v>
      </c>
      <c r="F1772">
        <v>333.15</v>
      </c>
      <c r="G1772">
        <v>856</v>
      </c>
      <c r="H1772">
        <f t="shared" si="108"/>
        <v>-2.4236234213711016</v>
      </c>
      <c r="I1772">
        <v>8.8599999999999998E-2</v>
      </c>
      <c r="J1772" t="str">
        <f t="shared" si="109"/>
        <v>CCCC[P+](CCCC)(CCCC)CCCC.[Br-]C1=CC=C(C=C1)O</v>
      </c>
      <c r="K1772">
        <v>44</v>
      </c>
      <c r="M1772">
        <f t="shared" si="110"/>
        <v>1.6214713250298407</v>
      </c>
      <c r="N1772">
        <f t="shared" si="111"/>
        <v>-0.14261052956542505</v>
      </c>
    </row>
    <row r="1773" spans="1:14" x14ac:dyDescent="0.35">
      <c r="A1773">
        <v>1771</v>
      </c>
      <c r="B1773" t="s">
        <v>13</v>
      </c>
      <c r="C1773" t="s">
        <v>58</v>
      </c>
      <c r="D1773">
        <v>0.2</v>
      </c>
      <c r="E1773">
        <v>0.8</v>
      </c>
      <c r="F1773">
        <v>333.15</v>
      </c>
      <c r="G1773">
        <v>1024.7</v>
      </c>
      <c r="H1773">
        <f t="shared" si="108"/>
        <v>-2.1567546447825063</v>
      </c>
      <c r="I1773">
        <v>0.1157</v>
      </c>
      <c r="J1773" t="str">
        <f t="shared" si="109"/>
        <v>CCCC[P+](CCCC)(CCCC)CCCC.[Br-]C1=CC=C(C=C1)O</v>
      </c>
      <c r="K1773">
        <v>44</v>
      </c>
      <c r="M1773">
        <f t="shared" si="110"/>
        <v>1.6214713250298407</v>
      </c>
      <c r="N1773">
        <f t="shared" si="111"/>
        <v>-4.8259067282487689E-2</v>
      </c>
    </row>
    <row r="1774" spans="1:14" x14ac:dyDescent="0.35">
      <c r="A1774">
        <v>1772</v>
      </c>
      <c r="B1774" t="s">
        <v>13</v>
      </c>
      <c r="C1774" t="s">
        <v>58</v>
      </c>
      <c r="D1774">
        <v>0.2</v>
      </c>
      <c r="E1774">
        <v>0.8</v>
      </c>
      <c r="F1774">
        <v>333.15</v>
      </c>
      <c r="G1774">
        <v>1272.9000000000001</v>
      </c>
      <c r="H1774">
        <f t="shared" si="108"/>
        <v>-1.9449106487222299</v>
      </c>
      <c r="I1774">
        <v>0.14299999999999999</v>
      </c>
      <c r="J1774" t="str">
        <f t="shared" si="109"/>
        <v>CCCC[P+](CCCC)(CCCC)CCCC.[Br-]C1=CC=C(C=C1)O</v>
      </c>
      <c r="K1774">
        <v>44</v>
      </c>
      <c r="M1774">
        <f t="shared" si="110"/>
        <v>1.6214713250298407</v>
      </c>
      <c r="N1774">
        <f t="shared" si="111"/>
        <v>9.0555591511970263E-2</v>
      </c>
    </row>
    <row r="1775" spans="1:14" x14ac:dyDescent="0.35">
      <c r="A1775">
        <v>1773</v>
      </c>
      <c r="B1775" t="s">
        <v>13</v>
      </c>
      <c r="C1775" t="s">
        <v>45</v>
      </c>
      <c r="D1775">
        <v>0.2</v>
      </c>
      <c r="E1775">
        <v>0.8</v>
      </c>
      <c r="F1775">
        <v>313.14999999999998</v>
      </c>
      <c r="G1775">
        <v>183.5</v>
      </c>
      <c r="H1775">
        <f t="shared" si="108"/>
        <v>-3.7465085669505727</v>
      </c>
      <c r="I1775">
        <v>2.3599999999999999E-2</v>
      </c>
      <c r="J1775" t="str">
        <f t="shared" si="109"/>
        <v>CCCC[P+](CCCC)(CCCC)CCCC.[Br-]C(COCCO)O</v>
      </c>
      <c r="K1775">
        <v>43</v>
      </c>
      <c r="M1775">
        <f t="shared" si="110"/>
        <v>5.4037971934950142E-2</v>
      </c>
      <c r="N1775">
        <f t="shared" si="111"/>
        <v>-0.51873002206853924</v>
      </c>
    </row>
    <row r="1776" spans="1:14" x14ac:dyDescent="0.35">
      <c r="A1776">
        <v>1774</v>
      </c>
      <c r="B1776" t="s">
        <v>13</v>
      </c>
      <c r="C1776" t="s">
        <v>45</v>
      </c>
      <c r="D1776">
        <v>0.2</v>
      </c>
      <c r="E1776">
        <v>0.8</v>
      </c>
      <c r="F1776">
        <v>313.14999999999998</v>
      </c>
      <c r="G1776">
        <v>379.8</v>
      </c>
      <c r="H1776">
        <f t="shared" si="108"/>
        <v>-3.03</v>
      </c>
      <c r="I1776">
        <v>4.8315638126067789E-2</v>
      </c>
      <c r="J1776" t="str">
        <f t="shared" si="109"/>
        <v>CCCC[P+](CCCC)(CCCC)CCCC.[Br-]C(COCCO)O</v>
      </c>
      <c r="K1776">
        <v>43</v>
      </c>
      <c r="M1776">
        <f t="shared" si="110"/>
        <v>5.4037971934950142E-2</v>
      </c>
      <c r="N1776">
        <f t="shared" si="111"/>
        <v>-0.40894228024197971</v>
      </c>
    </row>
    <row r="1777" spans="1:14" x14ac:dyDescent="0.35">
      <c r="A1777">
        <v>1775</v>
      </c>
      <c r="B1777" t="s">
        <v>13</v>
      </c>
      <c r="C1777" t="s">
        <v>45</v>
      </c>
      <c r="D1777">
        <v>0.2</v>
      </c>
      <c r="E1777">
        <v>0.8</v>
      </c>
      <c r="F1777">
        <v>313.14999999999998</v>
      </c>
      <c r="G1777">
        <v>621.6</v>
      </c>
      <c r="H1777">
        <f t="shared" si="108"/>
        <v>-2.422495389666603</v>
      </c>
      <c r="I1777">
        <v>8.8700000000000001E-2</v>
      </c>
      <c r="J1777" t="str">
        <f t="shared" si="109"/>
        <v>CCCC[P+](CCCC)(CCCC)CCCC.[Br-]C(COCCO)O</v>
      </c>
      <c r="K1777">
        <v>43</v>
      </c>
      <c r="M1777">
        <f t="shared" si="110"/>
        <v>5.4037971934950142E-2</v>
      </c>
      <c r="N1777">
        <f t="shared" si="111"/>
        <v>-0.27370704858807188</v>
      </c>
    </row>
    <row r="1778" spans="1:14" x14ac:dyDescent="0.35">
      <c r="A1778">
        <v>1776</v>
      </c>
      <c r="B1778" t="s">
        <v>13</v>
      </c>
      <c r="C1778" t="s">
        <v>45</v>
      </c>
      <c r="D1778">
        <v>0.2</v>
      </c>
      <c r="E1778">
        <v>0.8</v>
      </c>
      <c r="F1778">
        <v>313.14999999999998</v>
      </c>
      <c r="G1778">
        <v>892.3</v>
      </c>
      <c r="H1778">
        <f t="shared" si="108"/>
        <v>-2.0211726335558602</v>
      </c>
      <c r="I1778">
        <v>0.13250000000000001</v>
      </c>
      <c r="J1778" t="str">
        <f t="shared" si="109"/>
        <v>CCCC[P+](CCCC)(CCCC)CCCC.[Br-]C(COCCO)O</v>
      </c>
      <c r="K1778">
        <v>43</v>
      </c>
      <c r="M1778">
        <f t="shared" si="110"/>
        <v>5.4037971934950142E-2</v>
      </c>
      <c r="N1778">
        <f t="shared" si="111"/>
        <v>-0.12230846625261758</v>
      </c>
    </row>
    <row r="1779" spans="1:14" x14ac:dyDescent="0.35">
      <c r="A1779">
        <v>1777</v>
      </c>
      <c r="B1779" t="s">
        <v>13</v>
      </c>
      <c r="C1779" t="s">
        <v>45</v>
      </c>
      <c r="D1779">
        <v>0.2</v>
      </c>
      <c r="E1779">
        <v>0.8</v>
      </c>
      <c r="F1779">
        <v>313.14999999999998</v>
      </c>
      <c r="G1779">
        <v>1024.5</v>
      </c>
      <c r="H1779">
        <f t="shared" si="108"/>
        <v>-1.8534221296201618</v>
      </c>
      <c r="I1779">
        <v>0.15670000000000001</v>
      </c>
      <c r="J1779" t="str">
        <f t="shared" si="109"/>
        <v>CCCC[P+](CCCC)(CCCC)CCCC.[Br-]C(COCCO)O</v>
      </c>
      <c r="K1779">
        <v>43</v>
      </c>
      <c r="M1779">
        <f t="shared" si="110"/>
        <v>5.4037971934950142E-2</v>
      </c>
      <c r="N1779">
        <f t="shared" si="111"/>
        <v>-4.8370924380629905E-2</v>
      </c>
    </row>
    <row r="1780" spans="1:14" x14ac:dyDescent="0.35">
      <c r="A1780">
        <v>1778</v>
      </c>
      <c r="B1780" t="s">
        <v>13</v>
      </c>
      <c r="C1780" t="s">
        <v>45</v>
      </c>
      <c r="D1780">
        <v>0.2</v>
      </c>
      <c r="E1780">
        <v>0.8</v>
      </c>
      <c r="F1780">
        <v>313.14999999999998</v>
      </c>
      <c r="G1780">
        <v>1398.1</v>
      </c>
      <c r="H1780">
        <f t="shared" si="108"/>
        <v>-1.5497549102729267</v>
      </c>
      <c r="I1780">
        <v>0.21229999999999999</v>
      </c>
      <c r="J1780" t="str">
        <f t="shared" si="109"/>
        <v>CCCC[P+](CCCC)(CCCC)CCCC.[Br-]C(COCCO)O</v>
      </c>
      <c r="K1780">
        <v>43</v>
      </c>
      <c r="M1780">
        <f t="shared" si="110"/>
        <v>5.4037971934950142E-2</v>
      </c>
      <c r="N1780">
        <f t="shared" si="111"/>
        <v>0.16057813494898115</v>
      </c>
    </row>
    <row r="1781" spans="1:14" x14ac:dyDescent="0.35">
      <c r="A1781">
        <v>1779</v>
      </c>
      <c r="B1781" t="s">
        <v>13</v>
      </c>
      <c r="C1781" t="s">
        <v>45</v>
      </c>
      <c r="D1781">
        <v>0.2</v>
      </c>
      <c r="E1781">
        <v>0.8</v>
      </c>
      <c r="F1781">
        <v>323.14999999999998</v>
      </c>
      <c r="G1781">
        <v>94.4</v>
      </c>
      <c r="H1781">
        <f t="shared" si="108"/>
        <v>-4.34</v>
      </c>
      <c r="I1781">
        <v>1.3036528203437736E-2</v>
      </c>
      <c r="J1781" t="str">
        <f t="shared" si="109"/>
        <v>CCCC[P+](CCCC)(CCCC)CCCC.[Br-]C(COCCO)O</v>
      </c>
      <c r="K1781">
        <v>43</v>
      </c>
      <c r="M1781">
        <f t="shared" si="110"/>
        <v>0.83775464848239545</v>
      </c>
      <c r="N1781">
        <f t="shared" si="111"/>
        <v>-0.56856235929088494</v>
      </c>
    </row>
    <row r="1782" spans="1:14" x14ac:dyDescent="0.35">
      <c r="A1782">
        <v>1780</v>
      </c>
      <c r="B1782" t="s">
        <v>13</v>
      </c>
      <c r="C1782" t="s">
        <v>45</v>
      </c>
      <c r="D1782">
        <v>0.2</v>
      </c>
      <c r="E1782">
        <v>0.8</v>
      </c>
      <c r="F1782">
        <v>323.14999999999998</v>
      </c>
      <c r="G1782">
        <v>270.7</v>
      </c>
      <c r="H1782">
        <f t="shared" si="108"/>
        <v>-3.564893474332945</v>
      </c>
      <c r="I1782">
        <v>2.8299999999999999E-2</v>
      </c>
      <c r="J1782" t="str">
        <f t="shared" si="109"/>
        <v>CCCC[P+](CCCC)(CCCC)CCCC.[Br-]C(COCCO)O</v>
      </c>
      <c r="K1782">
        <v>43</v>
      </c>
      <c r="M1782">
        <f t="shared" si="110"/>
        <v>0.83775464848239545</v>
      </c>
      <c r="N1782">
        <f t="shared" si="111"/>
        <v>-0.46996032727854437</v>
      </c>
    </row>
    <row r="1783" spans="1:14" x14ac:dyDescent="0.35">
      <c r="A1783">
        <v>1781</v>
      </c>
      <c r="B1783" t="s">
        <v>13</v>
      </c>
      <c r="C1783" t="s">
        <v>45</v>
      </c>
      <c r="D1783">
        <v>0.2</v>
      </c>
      <c r="E1783">
        <v>0.8</v>
      </c>
      <c r="F1783">
        <v>323.14999999999998</v>
      </c>
      <c r="G1783">
        <v>464.2</v>
      </c>
      <c r="H1783">
        <f t="shared" si="108"/>
        <v>-2.752002088631393</v>
      </c>
      <c r="I1783">
        <v>6.3799999999999996E-2</v>
      </c>
      <c r="J1783" t="str">
        <f t="shared" si="109"/>
        <v>CCCC[P+](CCCC)(CCCC)CCCC.[Br-]C(COCCO)O</v>
      </c>
      <c r="K1783">
        <v>43</v>
      </c>
      <c r="M1783">
        <f t="shared" si="110"/>
        <v>0.83775464848239545</v>
      </c>
      <c r="N1783">
        <f t="shared" si="111"/>
        <v>-0.36173858482597543</v>
      </c>
    </row>
    <row r="1784" spans="1:14" x14ac:dyDescent="0.35">
      <c r="A1784">
        <v>1782</v>
      </c>
      <c r="B1784" t="s">
        <v>13</v>
      </c>
      <c r="C1784" t="s">
        <v>45</v>
      </c>
      <c r="D1784">
        <v>0.2</v>
      </c>
      <c r="E1784">
        <v>0.8</v>
      </c>
      <c r="F1784">
        <v>323.14999999999998</v>
      </c>
      <c r="G1784">
        <v>700.8</v>
      </c>
      <c r="H1784">
        <f t="shared" si="108"/>
        <v>-2.3289290683336477</v>
      </c>
      <c r="I1784">
        <v>9.74E-2</v>
      </c>
      <c r="J1784" t="str">
        <f t="shared" si="109"/>
        <v>CCCC[P+](CCCC)(CCCC)CCCC.[Br-]C(COCCO)O</v>
      </c>
      <c r="K1784">
        <v>43</v>
      </c>
      <c r="M1784">
        <f t="shared" si="110"/>
        <v>0.83775464848239545</v>
      </c>
      <c r="N1784">
        <f t="shared" si="111"/>
        <v>-0.22941163772376461</v>
      </c>
    </row>
    <row r="1785" spans="1:14" x14ac:dyDescent="0.35">
      <c r="A1785">
        <v>1783</v>
      </c>
      <c r="B1785" t="s">
        <v>13</v>
      </c>
      <c r="C1785" t="s">
        <v>45</v>
      </c>
      <c r="D1785">
        <v>0.2</v>
      </c>
      <c r="E1785">
        <v>0.8</v>
      </c>
      <c r="F1785">
        <v>323.14999999999998</v>
      </c>
      <c r="G1785">
        <v>895.4</v>
      </c>
      <c r="H1785">
        <f t="shared" si="108"/>
        <v>-2.0433024950639629</v>
      </c>
      <c r="I1785">
        <v>0.12959999999999999</v>
      </c>
      <c r="J1785" t="str">
        <f t="shared" si="109"/>
        <v>CCCC[P+](CCCC)(CCCC)CCCC.[Br-]C(COCCO)O</v>
      </c>
      <c r="K1785">
        <v>43</v>
      </c>
      <c r="M1785">
        <f t="shared" si="110"/>
        <v>0.83775464848239545</v>
      </c>
      <c r="N1785">
        <f t="shared" si="111"/>
        <v>-0.12057468123141363</v>
      </c>
    </row>
    <row r="1786" spans="1:14" x14ac:dyDescent="0.35">
      <c r="A1786">
        <v>1784</v>
      </c>
      <c r="B1786" t="s">
        <v>13</v>
      </c>
      <c r="C1786" t="s">
        <v>45</v>
      </c>
      <c r="D1786">
        <v>0.2</v>
      </c>
      <c r="E1786">
        <v>0.8</v>
      </c>
      <c r="F1786">
        <v>323.14999999999998</v>
      </c>
      <c r="G1786">
        <v>1148</v>
      </c>
      <c r="H1786">
        <f t="shared" si="108"/>
        <v>-1.785578610152974</v>
      </c>
      <c r="I1786">
        <v>0.16769999999999999</v>
      </c>
      <c r="J1786" t="str">
        <f t="shared" si="109"/>
        <v>CCCC[P+](CCCC)(CCCC)CCCC.[Br-]C(COCCO)O</v>
      </c>
      <c r="K1786">
        <v>43</v>
      </c>
      <c r="M1786">
        <f t="shared" si="110"/>
        <v>0.83775464848239545</v>
      </c>
      <c r="N1786">
        <f t="shared" si="111"/>
        <v>2.0700833722172487E-2</v>
      </c>
    </row>
    <row r="1787" spans="1:14" x14ac:dyDescent="0.35">
      <c r="A1787">
        <v>1785</v>
      </c>
      <c r="B1787" t="s">
        <v>13</v>
      </c>
      <c r="C1787" t="s">
        <v>45</v>
      </c>
      <c r="D1787">
        <v>0.2</v>
      </c>
      <c r="E1787">
        <v>0.8</v>
      </c>
      <c r="F1787">
        <v>333.15</v>
      </c>
      <c r="G1787">
        <v>164.8</v>
      </c>
      <c r="H1787">
        <f t="shared" si="108"/>
        <v>-4.08</v>
      </c>
      <c r="I1787">
        <v>1.6907465652705279E-2</v>
      </c>
      <c r="J1787" t="str">
        <f t="shared" si="109"/>
        <v>CCCC[P+](CCCC)(CCCC)CCCC.[Br-]C(COCCO)O</v>
      </c>
      <c r="K1787">
        <v>43</v>
      </c>
      <c r="M1787">
        <f t="shared" si="110"/>
        <v>1.6214713250298407</v>
      </c>
      <c r="N1787">
        <f t="shared" si="111"/>
        <v>-0.52918866074483406</v>
      </c>
    </row>
    <row r="1788" spans="1:14" x14ac:dyDescent="0.35">
      <c r="A1788">
        <v>1786</v>
      </c>
      <c r="B1788" t="s">
        <v>13</v>
      </c>
      <c r="C1788" t="s">
        <v>45</v>
      </c>
      <c r="D1788">
        <v>0.2</v>
      </c>
      <c r="E1788">
        <v>0.8</v>
      </c>
      <c r="F1788">
        <v>333.15</v>
      </c>
      <c r="G1788">
        <v>397.4</v>
      </c>
      <c r="H1788">
        <f t="shared" si="108"/>
        <v>-3.18689277901515</v>
      </c>
      <c r="I1788">
        <v>4.1300000000000003E-2</v>
      </c>
      <c r="J1788" t="str">
        <f t="shared" si="109"/>
        <v>CCCC[P+](CCCC)(CCCC)CCCC.[Br-]C(COCCO)O</v>
      </c>
      <c r="K1788">
        <v>43</v>
      </c>
      <c r="M1788">
        <f t="shared" si="110"/>
        <v>1.6214713250298407</v>
      </c>
      <c r="N1788">
        <f t="shared" si="111"/>
        <v>-0.39909885560546698</v>
      </c>
    </row>
    <row r="1789" spans="1:14" x14ac:dyDescent="0.35">
      <c r="A1789">
        <v>1787</v>
      </c>
      <c r="B1789" t="s">
        <v>13</v>
      </c>
      <c r="C1789" t="s">
        <v>45</v>
      </c>
      <c r="D1789">
        <v>0.2</v>
      </c>
      <c r="E1789">
        <v>0.8</v>
      </c>
      <c r="F1789">
        <v>333.15</v>
      </c>
      <c r="G1789">
        <v>642.29999999999995</v>
      </c>
      <c r="H1789">
        <f t="shared" si="108"/>
        <v>-2.56</v>
      </c>
      <c r="I1789">
        <v>7.7304740443299741E-2</v>
      </c>
      <c r="J1789" t="str">
        <f t="shared" si="109"/>
        <v>CCCC[P+](CCCC)(CCCC)CCCC.[Br-]C(COCCO)O</v>
      </c>
      <c r="K1789">
        <v>43</v>
      </c>
      <c r="M1789">
        <f t="shared" si="110"/>
        <v>1.6214713250298407</v>
      </c>
      <c r="N1789">
        <f t="shared" si="111"/>
        <v>-0.26212983893035524</v>
      </c>
    </row>
    <row r="1790" spans="1:14" x14ac:dyDescent="0.35">
      <c r="A1790">
        <v>1788</v>
      </c>
      <c r="B1790" t="s">
        <v>13</v>
      </c>
      <c r="C1790" t="s">
        <v>45</v>
      </c>
      <c r="D1790">
        <v>0.2</v>
      </c>
      <c r="E1790">
        <v>0.8</v>
      </c>
      <c r="F1790">
        <v>333.15</v>
      </c>
      <c r="G1790">
        <v>903.8</v>
      </c>
      <c r="H1790">
        <f t="shared" si="108"/>
        <v>-2.1311559773665145</v>
      </c>
      <c r="I1790">
        <v>0.1187</v>
      </c>
      <c r="J1790" t="str">
        <f t="shared" si="109"/>
        <v>CCCC[P+](CCCC)(CCCC)CCCC.[Br-]C(COCCO)O</v>
      </c>
      <c r="K1790">
        <v>43</v>
      </c>
      <c r="M1790">
        <f t="shared" si="110"/>
        <v>1.6214713250298407</v>
      </c>
      <c r="N1790">
        <f t="shared" si="111"/>
        <v>-0.11587668310944166</v>
      </c>
    </row>
    <row r="1791" spans="1:14" x14ac:dyDescent="0.35">
      <c r="A1791">
        <v>1789</v>
      </c>
      <c r="B1791" t="s">
        <v>13</v>
      </c>
      <c r="C1791" t="s">
        <v>45</v>
      </c>
      <c r="D1791">
        <v>0.2</v>
      </c>
      <c r="E1791">
        <v>0.8</v>
      </c>
      <c r="F1791">
        <v>333.15</v>
      </c>
      <c r="G1791">
        <v>1103.5999999999999</v>
      </c>
      <c r="H1791">
        <f t="shared" si="108"/>
        <v>-1.8878299379787886</v>
      </c>
      <c r="I1791">
        <v>0.15140000000000001</v>
      </c>
      <c r="J1791" t="str">
        <f t="shared" si="109"/>
        <v>CCCC[P+](CCCC)(CCCC)CCCC.[Br-]C(COCCO)O</v>
      </c>
      <c r="K1791">
        <v>43</v>
      </c>
      <c r="M1791">
        <f t="shared" si="110"/>
        <v>1.6214713250298407</v>
      </c>
      <c r="N1791">
        <f t="shared" si="111"/>
        <v>-4.1314420653937667E-3</v>
      </c>
    </row>
    <row r="1792" spans="1:14" x14ac:dyDescent="0.35">
      <c r="A1792">
        <v>1790</v>
      </c>
      <c r="B1792" t="s">
        <v>13</v>
      </c>
      <c r="C1792" t="s">
        <v>45</v>
      </c>
      <c r="D1792">
        <v>0.2</v>
      </c>
      <c r="E1792">
        <v>0.8</v>
      </c>
      <c r="F1792">
        <v>333.15</v>
      </c>
      <c r="G1792">
        <v>1396.5</v>
      </c>
      <c r="H1792">
        <f t="shared" si="108"/>
        <v>-1.6327065393734548</v>
      </c>
      <c r="I1792">
        <v>0.19539999999999999</v>
      </c>
      <c r="J1792" t="str">
        <f t="shared" si="109"/>
        <v>CCCC[P+](CCCC)(CCCC)CCCC.[Br-]C(COCCO)O</v>
      </c>
      <c r="K1792">
        <v>43</v>
      </c>
      <c r="M1792">
        <f t="shared" si="110"/>
        <v>1.6214713250298407</v>
      </c>
      <c r="N1792">
        <f t="shared" si="111"/>
        <v>0.1596832781638437</v>
      </c>
    </row>
    <row r="1793" spans="1:14" x14ac:dyDescent="0.35">
      <c r="A1793">
        <v>1791</v>
      </c>
      <c r="B1793" t="s">
        <v>3</v>
      </c>
      <c r="C1793" t="s">
        <v>58</v>
      </c>
      <c r="D1793">
        <v>0.2</v>
      </c>
      <c r="E1793">
        <v>0.8</v>
      </c>
      <c r="F1793">
        <v>313.14999999999998</v>
      </c>
      <c r="G1793">
        <v>218.2</v>
      </c>
      <c r="H1793">
        <f t="shared" si="108"/>
        <v>-3.5065578973199818</v>
      </c>
      <c r="I1793">
        <v>0.03</v>
      </c>
      <c r="J1793" t="str">
        <f t="shared" si="109"/>
        <v>C=CC[P+](C1=CC=CC=C1)(C2=CC=CC=C2)C3=CC=CC=C3.[Br-]C1=CC=C(C=C1)O</v>
      </c>
      <c r="K1793">
        <v>9</v>
      </c>
      <c r="M1793">
        <f t="shared" si="110"/>
        <v>5.4037971934950142E-2</v>
      </c>
      <c r="N1793">
        <f t="shared" si="111"/>
        <v>-0.49932281554086927</v>
      </c>
    </row>
    <row r="1794" spans="1:14" x14ac:dyDescent="0.35">
      <c r="A1794">
        <v>1792</v>
      </c>
      <c r="B1794" t="s">
        <v>3</v>
      </c>
      <c r="C1794" t="s">
        <v>58</v>
      </c>
      <c r="D1794">
        <v>0.2</v>
      </c>
      <c r="E1794">
        <v>0.8</v>
      </c>
      <c r="F1794">
        <v>313.14999999999998</v>
      </c>
      <c r="G1794">
        <v>397.4</v>
      </c>
      <c r="H1794">
        <f t="shared" si="108"/>
        <v>-2.8</v>
      </c>
      <c r="I1794">
        <v>6.0810062625217973E-2</v>
      </c>
      <c r="J1794" t="str">
        <f t="shared" si="109"/>
        <v>C=CC[P+](C1=CC=CC=C1)(C2=CC=CC=C2)C3=CC=CC=C3.[Br-]C1=CC=C(C=C1)O</v>
      </c>
      <c r="K1794">
        <v>9</v>
      </c>
      <c r="M1794">
        <f t="shared" si="110"/>
        <v>5.4037971934950142E-2</v>
      </c>
      <c r="N1794">
        <f t="shared" si="111"/>
        <v>-0.39909885560546698</v>
      </c>
    </row>
    <row r="1795" spans="1:14" x14ac:dyDescent="0.35">
      <c r="A1795">
        <v>1793</v>
      </c>
      <c r="B1795" t="s">
        <v>3</v>
      </c>
      <c r="C1795" t="s">
        <v>58</v>
      </c>
      <c r="D1795">
        <v>0.2</v>
      </c>
      <c r="E1795">
        <v>0.8</v>
      </c>
      <c r="F1795">
        <v>313.14999999999998</v>
      </c>
      <c r="G1795">
        <v>631.6</v>
      </c>
      <c r="H1795">
        <f t="shared" ref="H1795:H1858" si="112">LN(I1795)</f>
        <v>-2.3075976348175899</v>
      </c>
      <c r="I1795">
        <v>9.9500000000000005E-2</v>
      </c>
      <c r="J1795" t="str">
        <f t="shared" ref="J1795:J1858" si="113">_xlfn.CONCAT(B1795,C1795)</f>
        <v>C=CC[P+](C1=CC=CC=C1)(C2=CC=CC=C2)C3=CC=CC=C3.[Br-]C1=CC=C(C=C1)O</v>
      </c>
      <c r="K1795">
        <v>9</v>
      </c>
      <c r="M1795">
        <f t="shared" ref="M1795:M1858" si="114">(F1795-$L$3)/$L$2</f>
        <v>5.4037971934950142E-2</v>
      </c>
      <c r="N1795">
        <f t="shared" ref="N1795:N1858" si="115">(G1795-$L$6)/$L$5</f>
        <v>-0.26811419368096234</v>
      </c>
    </row>
    <row r="1796" spans="1:14" x14ac:dyDescent="0.35">
      <c r="A1796">
        <v>1794</v>
      </c>
      <c r="B1796" t="s">
        <v>3</v>
      </c>
      <c r="C1796" t="s">
        <v>58</v>
      </c>
      <c r="D1796">
        <v>0.2</v>
      </c>
      <c r="E1796">
        <v>0.8</v>
      </c>
      <c r="F1796">
        <v>313.14999999999998</v>
      </c>
      <c r="G1796">
        <v>886.6</v>
      </c>
      <c r="H1796">
        <f t="shared" si="112"/>
        <v>-1.9477117710019414</v>
      </c>
      <c r="I1796">
        <v>0.1426</v>
      </c>
      <c r="J1796" t="str">
        <f t="shared" si="113"/>
        <v>C=CC[P+](C1=CC=CC=C1)(C2=CC=CC=C2)C3=CC=CC=C3.[Br-]C1=CC=C(C=C1)O</v>
      </c>
      <c r="K1796">
        <v>9</v>
      </c>
      <c r="M1796">
        <f t="shared" si="114"/>
        <v>5.4037971934950142E-2</v>
      </c>
      <c r="N1796">
        <f t="shared" si="115"/>
        <v>-0.12549639354966996</v>
      </c>
    </row>
    <row r="1797" spans="1:14" x14ac:dyDescent="0.35">
      <c r="A1797">
        <v>1795</v>
      </c>
      <c r="B1797" t="s">
        <v>3</v>
      </c>
      <c r="C1797" t="s">
        <v>58</v>
      </c>
      <c r="D1797">
        <v>0.2</v>
      </c>
      <c r="E1797">
        <v>0.8</v>
      </c>
      <c r="F1797">
        <v>313.14999999999998</v>
      </c>
      <c r="G1797">
        <v>1093.3</v>
      </c>
      <c r="H1797">
        <f t="shared" si="112"/>
        <v>-1.7254100886865211</v>
      </c>
      <c r="I1797">
        <v>0.17810000000000001</v>
      </c>
      <c r="J1797" t="str">
        <f t="shared" si="113"/>
        <v>C=CC[P+](C1=CC=CC=C1)(C2=CC=CC=C2)C3=CC=CC=C3.[Br-]C1=CC=C(C=C1)O</v>
      </c>
      <c r="K1797">
        <v>9</v>
      </c>
      <c r="M1797">
        <f t="shared" si="114"/>
        <v>5.4037971934950142E-2</v>
      </c>
      <c r="N1797">
        <f t="shared" si="115"/>
        <v>-9.8920826197165315E-3</v>
      </c>
    </row>
    <row r="1798" spans="1:14" x14ac:dyDescent="0.35">
      <c r="A1798">
        <v>1796</v>
      </c>
      <c r="B1798" t="s">
        <v>3</v>
      </c>
      <c r="C1798" t="s">
        <v>58</v>
      </c>
      <c r="D1798">
        <v>0.2</v>
      </c>
      <c r="E1798">
        <v>0.8</v>
      </c>
      <c r="F1798">
        <v>313.14999999999998</v>
      </c>
      <c r="G1798">
        <v>1333.2</v>
      </c>
      <c r="H1798">
        <f t="shared" si="112"/>
        <v>-1.5445869401144841</v>
      </c>
      <c r="I1798">
        <v>0.21340000000000001</v>
      </c>
      <c r="J1798" t="str">
        <f t="shared" si="113"/>
        <v>C=CC[P+](C1=CC=CC=C1)(C2=CC=CC=C2)C3=CC=CC=C3.[Br-]C1=CC=C(C=C1)O</v>
      </c>
      <c r="K1798">
        <v>9</v>
      </c>
      <c r="M1798">
        <f t="shared" si="114"/>
        <v>5.4037971934950142E-2</v>
      </c>
      <c r="N1798">
        <f t="shared" si="115"/>
        <v>0.12428050660184055</v>
      </c>
    </row>
    <row r="1799" spans="1:14" x14ac:dyDescent="0.35">
      <c r="A1799">
        <v>1797</v>
      </c>
      <c r="B1799" t="s">
        <v>3</v>
      </c>
      <c r="C1799" t="s">
        <v>58</v>
      </c>
      <c r="D1799">
        <v>0.2</v>
      </c>
      <c r="E1799">
        <v>0.8</v>
      </c>
      <c r="F1799">
        <v>323.14999999999998</v>
      </c>
      <c r="G1799">
        <v>231.4</v>
      </c>
      <c r="H1799">
        <f t="shared" si="112"/>
        <v>-3.3784578946926658</v>
      </c>
      <c r="I1799">
        <v>3.4099999999999998E-2</v>
      </c>
      <c r="J1799" t="str">
        <f t="shared" si="113"/>
        <v>C=CC[P+](C1=CC=CC=C1)(C2=CC=CC=C2)C3=CC=CC=C3.[Br-]C1=CC=C(C=C1)O</v>
      </c>
      <c r="K1799">
        <v>9</v>
      </c>
      <c r="M1799">
        <f t="shared" si="114"/>
        <v>0.83775464848239545</v>
      </c>
      <c r="N1799">
        <f t="shared" si="115"/>
        <v>-0.49194024706348477</v>
      </c>
    </row>
    <row r="1800" spans="1:14" x14ac:dyDescent="0.35">
      <c r="A1800">
        <v>1798</v>
      </c>
      <c r="B1800" t="s">
        <v>3</v>
      </c>
      <c r="C1800" t="s">
        <v>58</v>
      </c>
      <c r="D1800">
        <v>0.2</v>
      </c>
      <c r="E1800">
        <v>0.8</v>
      </c>
      <c r="F1800">
        <v>323.14999999999998</v>
      </c>
      <c r="G1800">
        <v>415.3</v>
      </c>
      <c r="H1800">
        <f t="shared" si="112"/>
        <v>-3.0261914810386994</v>
      </c>
      <c r="I1800">
        <v>4.8500000000000001E-2</v>
      </c>
      <c r="J1800" t="str">
        <f t="shared" si="113"/>
        <v>C=CC[P+](C1=CC=CC=C1)(C2=CC=CC=C2)C3=CC=CC=C3.[Br-]C1=CC=C(C=C1)O</v>
      </c>
      <c r="K1800">
        <v>9</v>
      </c>
      <c r="M1800">
        <f t="shared" si="114"/>
        <v>0.83775464848239545</v>
      </c>
      <c r="N1800">
        <f t="shared" si="115"/>
        <v>-0.389087645321741</v>
      </c>
    </row>
    <row r="1801" spans="1:14" x14ac:dyDescent="0.35">
      <c r="A1801">
        <v>1799</v>
      </c>
      <c r="B1801" t="s">
        <v>3</v>
      </c>
      <c r="C1801" t="s">
        <v>58</v>
      </c>
      <c r="D1801">
        <v>0.2</v>
      </c>
      <c r="E1801">
        <v>0.8</v>
      </c>
      <c r="F1801">
        <v>323.14999999999998</v>
      </c>
      <c r="G1801">
        <v>683.8</v>
      </c>
      <c r="H1801">
        <f t="shared" si="112"/>
        <v>-2.4361164856185682</v>
      </c>
      <c r="I1801">
        <v>8.7499999999999994E-2</v>
      </c>
      <c r="J1801" t="str">
        <f t="shared" si="113"/>
        <v>C=CC[P+](C1=CC=CC=C1)(C2=CC=CC=C2)C3=CC=CC=C3.[Br-]C1=CC=C(C=C1)O</v>
      </c>
      <c r="K1801">
        <v>9</v>
      </c>
      <c r="M1801">
        <f t="shared" si="114"/>
        <v>0.83775464848239545</v>
      </c>
      <c r="N1801">
        <f t="shared" si="115"/>
        <v>-0.23891949106585078</v>
      </c>
    </row>
    <row r="1802" spans="1:14" x14ac:dyDescent="0.35">
      <c r="A1802">
        <v>1800</v>
      </c>
      <c r="B1802" t="s">
        <v>3</v>
      </c>
      <c r="C1802" t="s">
        <v>58</v>
      </c>
      <c r="D1802">
        <v>0.2</v>
      </c>
      <c r="E1802">
        <v>0.8</v>
      </c>
      <c r="F1802">
        <v>323.14999999999998</v>
      </c>
      <c r="G1802">
        <v>904.6</v>
      </c>
      <c r="H1802">
        <f t="shared" si="112"/>
        <v>-2.0810428230468099</v>
      </c>
      <c r="I1802">
        <v>0.12479999999999999</v>
      </c>
      <c r="J1802" t="str">
        <f t="shared" si="113"/>
        <v>C=CC[P+](C1=CC=CC=C1)(C2=CC=CC=C2)C3=CC=CC=C3.[Br-]C1=CC=C(C=C1)O</v>
      </c>
      <c r="K1802">
        <v>9</v>
      </c>
      <c r="M1802">
        <f t="shared" si="114"/>
        <v>0.83775464848239545</v>
      </c>
      <c r="N1802">
        <f t="shared" si="115"/>
        <v>-0.11542925471687286</v>
      </c>
    </row>
    <row r="1803" spans="1:14" x14ac:dyDescent="0.35">
      <c r="A1803">
        <v>1801</v>
      </c>
      <c r="B1803" t="s">
        <v>3</v>
      </c>
      <c r="C1803" t="s">
        <v>58</v>
      </c>
      <c r="D1803">
        <v>0.2</v>
      </c>
      <c r="E1803">
        <v>0.8</v>
      </c>
      <c r="F1803">
        <v>323.14999999999998</v>
      </c>
      <c r="G1803">
        <v>1125.7</v>
      </c>
      <c r="H1803">
        <f t="shared" si="112"/>
        <v>-1.802416049416584</v>
      </c>
      <c r="I1803">
        <v>0.16489999999999999</v>
      </c>
      <c r="J1803" t="str">
        <f t="shared" si="113"/>
        <v>C=CC[P+](C1=CC=CC=C1)(C2=CC=CC=C2)C3=CC=CC=C3.[Br-]C1=CC=C(C=C1)O</v>
      </c>
      <c r="K1803">
        <v>9</v>
      </c>
      <c r="M1803">
        <f t="shared" si="114"/>
        <v>0.83775464848239545</v>
      </c>
      <c r="N1803">
        <f t="shared" si="115"/>
        <v>8.2287672793183164E-3</v>
      </c>
    </row>
    <row r="1804" spans="1:14" x14ac:dyDescent="0.35">
      <c r="A1804">
        <v>1802</v>
      </c>
      <c r="B1804" t="s">
        <v>3</v>
      </c>
      <c r="C1804" t="s">
        <v>58</v>
      </c>
      <c r="D1804">
        <v>0.2</v>
      </c>
      <c r="E1804">
        <v>0.8</v>
      </c>
      <c r="F1804">
        <v>323.14999999999998</v>
      </c>
      <c r="G1804">
        <v>1325.9</v>
      </c>
      <c r="H1804">
        <f t="shared" si="112"/>
        <v>-1.6225231519827559</v>
      </c>
      <c r="I1804">
        <v>0.19739999999999999</v>
      </c>
      <c r="J1804" t="str">
        <f t="shared" si="113"/>
        <v>C=CC[P+](C1=CC=CC=C1)(C2=CC=CC=C2)C3=CC=CC=C3.[Br-]C1=CC=C(C=C1)O</v>
      </c>
      <c r="K1804">
        <v>9</v>
      </c>
      <c r="M1804">
        <f t="shared" si="114"/>
        <v>0.83775464848239545</v>
      </c>
      <c r="N1804">
        <f t="shared" si="115"/>
        <v>0.12019772251965063</v>
      </c>
    </row>
    <row r="1805" spans="1:14" x14ac:dyDescent="0.35">
      <c r="A1805">
        <v>1803</v>
      </c>
      <c r="B1805" t="s">
        <v>3</v>
      </c>
      <c r="C1805" t="s">
        <v>58</v>
      </c>
      <c r="D1805">
        <v>0.2</v>
      </c>
      <c r="E1805">
        <v>0.8</v>
      </c>
      <c r="F1805">
        <v>333.15</v>
      </c>
      <c r="G1805">
        <v>182.7</v>
      </c>
      <c r="H1805">
        <f t="shared" si="112"/>
        <v>-3.8971343929343956</v>
      </c>
      <c r="I1805">
        <v>2.0299999999999999E-2</v>
      </c>
      <c r="J1805" t="str">
        <f t="shared" si="113"/>
        <v>C=CC[P+](C1=CC=CC=C1)(C2=CC=CC=C2)C3=CC=CC=C3.[Br-]C1=CC=C(C=C1)O</v>
      </c>
      <c r="K1805">
        <v>9</v>
      </c>
      <c r="M1805">
        <f t="shared" si="114"/>
        <v>1.6214713250298407</v>
      </c>
      <c r="N1805">
        <f t="shared" si="115"/>
        <v>-0.51917745046110808</v>
      </c>
    </row>
    <row r="1806" spans="1:14" x14ac:dyDescent="0.35">
      <c r="A1806">
        <v>1804</v>
      </c>
      <c r="B1806" t="s">
        <v>3</v>
      </c>
      <c r="C1806" t="s">
        <v>58</v>
      </c>
      <c r="D1806">
        <v>0.2</v>
      </c>
      <c r="E1806">
        <v>0.8</v>
      </c>
      <c r="F1806">
        <v>333.15</v>
      </c>
      <c r="G1806">
        <v>472.8</v>
      </c>
      <c r="H1806">
        <f t="shared" si="112"/>
        <v>-2.9374633654300153</v>
      </c>
      <c r="I1806">
        <v>5.2999999999999999E-2</v>
      </c>
      <c r="J1806" t="str">
        <f t="shared" si="113"/>
        <v>C=CC[P+](C1=CC=CC=C1)(C2=CC=CC=C2)C3=CC=CC=C3.[Br-]C1=CC=C(C=C1)O</v>
      </c>
      <c r="K1806">
        <v>9</v>
      </c>
      <c r="M1806">
        <f t="shared" si="114"/>
        <v>1.6214713250298407</v>
      </c>
      <c r="N1806">
        <f t="shared" si="115"/>
        <v>-0.35692872960586131</v>
      </c>
    </row>
    <row r="1807" spans="1:14" x14ac:dyDescent="0.35">
      <c r="A1807">
        <v>1805</v>
      </c>
      <c r="B1807" t="s">
        <v>3</v>
      </c>
      <c r="C1807" t="s">
        <v>58</v>
      </c>
      <c r="D1807">
        <v>0.2</v>
      </c>
      <c r="E1807">
        <v>0.8</v>
      </c>
      <c r="F1807">
        <v>333.15</v>
      </c>
      <c r="G1807">
        <v>664.5</v>
      </c>
      <c r="H1807">
        <f t="shared" si="112"/>
        <v>-2.5549000216085354</v>
      </c>
      <c r="I1807">
        <v>7.7700000000000005E-2</v>
      </c>
      <c r="J1807" t="str">
        <f t="shared" si="113"/>
        <v>C=CC[P+](C1=CC=CC=C1)(C2=CC=CC=C2)C3=CC=CC=C3.[Br-]C1=CC=C(C=C1)O</v>
      </c>
      <c r="K1807">
        <v>9</v>
      </c>
      <c r="M1807">
        <f t="shared" si="114"/>
        <v>1.6214713250298407</v>
      </c>
      <c r="N1807">
        <f t="shared" si="115"/>
        <v>-0.24971370103657209</v>
      </c>
    </row>
    <row r="1808" spans="1:14" x14ac:dyDescent="0.35">
      <c r="A1808">
        <v>1806</v>
      </c>
      <c r="B1808" t="s">
        <v>3</v>
      </c>
      <c r="C1808" t="s">
        <v>58</v>
      </c>
      <c r="D1808">
        <v>0.2</v>
      </c>
      <c r="E1808">
        <v>0.8</v>
      </c>
      <c r="F1808">
        <v>333.15</v>
      </c>
      <c r="G1808">
        <v>821.3</v>
      </c>
      <c r="H1808">
        <f t="shared" si="112"/>
        <v>-2.2691503169078082</v>
      </c>
      <c r="I1808">
        <v>0.10340000000000001</v>
      </c>
      <c r="J1808" t="str">
        <f t="shared" si="113"/>
        <v>C=CC[P+](C1=CC=CC=C1)(C2=CC=CC=C2)C3=CC=CC=C3.[Br-]C1=CC=C(C=C1)O</v>
      </c>
      <c r="K1808">
        <v>9</v>
      </c>
      <c r="M1808">
        <f t="shared" si="114"/>
        <v>1.6214713250298407</v>
      </c>
      <c r="N1808">
        <f t="shared" si="115"/>
        <v>-0.16201773609309508</v>
      </c>
    </row>
    <row r="1809" spans="1:14" x14ac:dyDescent="0.35">
      <c r="A1809">
        <v>1807</v>
      </c>
      <c r="B1809" t="s">
        <v>3</v>
      </c>
      <c r="C1809" t="s">
        <v>58</v>
      </c>
      <c r="D1809">
        <v>0.2</v>
      </c>
      <c r="E1809">
        <v>0.8</v>
      </c>
      <c r="F1809">
        <v>333.15</v>
      </c>
      <c r="G1809">
        <v>1066.4000000000001</v>
      </c>
      <c r="H1809">
        <f t="shared" si="112"/>
        <v>-1.9561625255196646</v>
      </c>
      <c r="I1809">
        <v>0.1414</v>
      </c>
      <c r="J1809" t="str">
        <f t="shared" si="113"/>
        <v>C=CC[P+](C1=CC=CC=C1)(C2=CC=CC=C2)C3=CC=CC=C3.[Br-]C1=CC=C(C=C1)O</v>
      </c>
      <c r="K1809">
        <v>9</v>
      </c>
      <c r="M1809">
        <f t="shared" si="114"/>
        <v>1.6214713250298407</v>
      </c>
      <c r="N1809">
        <f t="shared" si="115"/>
        <v>-2.4936862319841026E-2</v>
      </c>
    </row>
    <row r="1810" spans="1:14" x14ac:dyDescent="0.35">
      <c r="A1810">
        <v>1808</v>
      </c>
      <c r="B1810" t="s">
        <v>3</v>
      </c>
      <c r="C1810" t="s">
        <v>58</v>
      </c>
      <c r="D1810">
        <v>0.2</v>
      </c>
      <c r="E1810">
        <v>0.8</v>
      </c>
      <c r="F1810">
        <v>333.15</v>
      </c>
      <c r="G1810">
        <v>1345.1</v>
      </c>
      <c r="H1810">
        <f t="shared" si="112"/>
        <v>-1.7175800710538036</v>
      </c>
      <c r="I1810">
        <v>0.17949999999999999</v>
      </c>
      <c r="J1810" t="str">
        <f t="shared" si="113"/>
        <v>C=CC[P+](C1=CC=CC=C1)(C2=CC=CC=C2)C3=CC=CC=C3.[Br-]C1=CC=C(C=C1)O</v>
      </c>
      <c r="K1810">
        <v>9</v>
      </c>
      <c r="M1810">
        <f t="shared" si="114"/>
        <v>1.6214713250298407</v>
      </c>
      <c r="N1810">
        <f t="shared" si="115"/>
        <v>0.13093600394130078</v>
      </c>
    </row>
    <row r="1811" spans="1:14" x14ac:dyDescent="0.35">
      <c r="A1811">
        <v>1809</v>
      </c>
      <c r="B1811" t="s">
        <v>3</v>
      </c>
      <c r="C1811" t="s">
        <v>45</v>
      </c>
      <c r="D1811">
        <v>0.2</v>
      </c>
      <c r="E1811">
        <v>0.8</v>
      </c>
      <c r="F1811">
        <v>303.14999999999998</v>
      </c>
      <c r="G1811">
        <v>160</v>
      </c>
      <c r="H1811">
        <f t="shared" si="112"/>
        <v>-3.34</v>
      </c>
      <c r="I1811">
        <v>3.543695772159864E-2</v>
      </c>
      <c r="J1811" t="str">
        <f t="shared" si="113"/>
        <v>C=CC[P+](C1=CC=CC=C1)(C2=CC=CC=C2)C3=CC=CC=C3.[Br-]C(COCCO)O</v>
      </c>
      <c r="K1811">
        <v>7</v>
      </c>
      <c r="M1811">
        <f t="shared" si="114"/>
        <v>-0.72967870461249518</v>
      </c>
      <c r="N1811">
        <f t="shared" si="115"/>
        <v>-0.53187323110024665</v>
      </c>
    </row>
    <row r="1812" spans="1:14" x14ac:dyDescent="0.35">
      <c r="A1812">
        <v>1810</v>
      </c>
      <c r="B1812" t="s">
        <v>3</v>
      </c>
      <c r="C1812" t="s">
        <v>45</v>
      </c>
      <c r="D1812">
        <v>0.2</v>
      </c>
      <c r="E1812">
        <v>0.8</v>
      </c>
      <c r="F1812">
        <v>303.14999999999998</v>
      </c>
      <c r="G1812">
        <v>340</v>
      </c>
      <c r="H1812">
        <f t="shared" si="112"/>
        <v>-2.57</v>
      </c>
      <c r="I1812">
        <v>7.6535545423911513E-2</v>
      </c>
      <c r="J1812" t="str">
        <f t="shared" si="113"/>
        <v>C=CC[P+](C1=CC=CC=C1)(C2=CC=CC=C2)C3=CC=CC=C3.[Br-]C(COCCO)O</v>
      </c>
      <c r="K1812">
        <v>7</v>
      </c>
      <c r="M1812">
        <f t="shared" si="114"/>
        <v>-0.72967870461249518</v>
      </c>
      <c r="N1812">
        <f t="shared" si="115"/>
        <v>-0.43120184277227552</v>
      </c>
    </row>
    <row r="1813" spans="1:14" x14ac:dyDescent="0.35">
      <c r="A1813">
        <v>1811</v>
      </c>
      <c r="B1813" t="s">
        <v>3</v>
      </c>
      <c r="C1813" t="s">
        <v>45</v>
      </c>
      <c r="D1813">
        <v>0.2</v>
      </c>
      <c r="E1813">
        <v>0.8</v>
      </c>
      <c r="F1813">
        <v>303.14999999999998</v>
      </c>
      <c r="G1813">
        <v>491</v>
      </c>
      <c r="H1813">
        <f t="shared" si="112"/>
        <v>-2.1800000000000002</v>
      </c>
      <c r="I1813">
        <v>0.11304153064044985</v>
      </c>
      <c r="J1813" t="str">
        <f t="shared" si="113"/>
        <v>C=CC[P+](C1=CC=CC=C1)(C2=CC=CC=C2)C3=CC=CC=C3.[Br-]C(COCCO)O</v>
      </c>
      <c r="K1813">
        <v>7</v>
      </c>
      <c r="M1813">
        <f t="shared" si="114"/>
        <v>-0.72967870461249518</v>
      </c>
      <c r="N1813">
        <f t="shared" si="115"/>
        <v>-0.34674973367492201</v>
      </c>
    </row>
    <row r="1814" spans="1:14" x14ac:dyDescent="0.35">
      <c r="A1814">
        <v>1812</v>
      </c>
      <c r="B1814" t="s">
        <v>3</v>
      </c>
      <c r="C1814" t="s">
        <v>45</v>
      </c>
      <c r="D1814">
        <v>0.2</v>
      </c>
      <c r="E1814">
        <v>0.8</v>
      </c>
      <c r="F1814">
        <v>303.14999999999998</v>
      </c>
      <c r="G1814">
        <v>739</v>
      </c>
      <c r="H1814">
        <f t="shared" si="112"/>
        <v>-1.75</v>
      </c>
      <c r="I1814">
        <v>0.17377394345044514</v>
      </c>
      <c r="J1814" t="str">
        <f t="shared" si="113"/>
        <v>C=CC[P+](C1=CC=CC=C1)(C2=CC=CC=C2)C3=CC=CC=C3.[Br-]C(COCCO)O</v>
      </c>
      <c r="K1814">
        <v>7</v>
      </c>
      <c r="M1814">
        <f t="shared" si="114"/>
        <v>-0.72967870461249518</v>
      </c>
      <c r="N1814">
        <f t="shared" si="115"/>
        <v>-0.20804693197860627</v>
      </c>
    </row>
    <row r="1815" spans="1:14" x14ac:dyDescent="0.35">
      <c r="A1815">
        <v>1813</v>
      </c>
      <c r="B1815" t="s">
        <v>3</v>
      </c>
      <c r="C1815" t="s">
        <v>45</v>
      </c>
      <c r="D1815">
        <v>0.2</v>
      </c>
      <c r="E1815">
        <v>0.8</v>
      </c>
      <c r="F1815">
        <v>303.14999999999998</v>
      </c>
      <c r="G1815">
        <v>870</v>
      </c>
      <c r="H1815">
        <f t="shared" si="112"/>
        <v>-1.5241780684832771</v>
      </c>
      <c r="I1815">
        <v>0.21779999999999999</v>
      </c>
      <c r="J1815" t="str">
        <f t="shared" si="113"/>
        <v>C=CC[P+](C1=CC=CC=C1)(C2=CC=CC=C2)C3=CC=CC=C3.[Br-]C(COCCO)O</v>
      </c>
      <c r="K1815">
        <v>7</v>
      </c>
      <c r="M1815">
        <f t="shared" si="114"/>
        <v>-0.72967870461249518</v>
      </c>
      <c r="N1815">
        <f t="shared" si="115"/>
        <v>-0.13478053269547177</v>
      </c>
    </row>
    <row r="1816" spans="1:14" x14ac:dyDescent="0.35">
      <c r="A1816">
        <v>1814</v>
      </c>
      <c r="B1816" t="s">
        <v>3</v>
      </c>
      <c r="C1816" t="s">
        <v>45</v>
      </c>
      <c r="D1816">
        <v>0.2</v>
      </c>
      <c r="E1816">
        <v>0.8</v>
      </c>
      <c r="F1816">
        <v>303.14999999999998</v>
      </c>
      <c r="G1816">
        <v>1076</v>
      </c>
      <c r="H1816">
        <f t="shared" si="112"/>
        <v>-1.2654936609741865</v>
      </c>
      <c r="I1816">
        <v>0.28210000000000002</v>
      </c>
      <c r="J1816" t="str">
        <f t="shared" si="113"/>
        <v>C=CC[P+](C1=CC=CC=C1)(C2=CC=CC=C2)C3=CC=CC=C3.[Br-]C(COCCO)O</v>
      </c>
      <c r="K1816">
        <v>7</v>
      </c>
      <c r="M1816">
        <f t="shared" si="114"/>
        <v>-0.72967870461249518</v>
      </c>
      <c r="N1816">
        <f t="shared" si="115"/>
        <v>-1.9567721609015952E-2</v>
      </c>
    </row>
    <row r="1817" spans="1:14" x14ac:dyDescent="0.35">
      <c r="A1817">
        <v>1815</v>
      </c>
      <c r="B1817" t="s">
        <v>3</v>
      </c>
      <c r="C1817" t="s">
        <v>45</v>
      </c>
      <c r="D1817">
        <v>0.2</v>
      </c>
      <c r="E1817">
        <v>0.8</v>
      </c>
      <c r="F1817">
        <v>303.14999999999998</v>
      </c>
      <c r="G1817">
        <v>1466.0004974999999</v>
      </c>
      <c r="H1817">
        <f t="shared" si="112"/>
        <v>-0.89673323265862437</v>
      </c>
      <c r="I1817">
        <v>0.40789999999999998</v>
      </c>
      <c r="J1817" t="str">
        <f t="shared" si="113"/>
        <v>C=CC[P+](C1=CC=CC=C1)(C2=CC=CC=C2)C3=CC=CC=C3.[Br-]C(COCCO)O</v>
      </c>
      <c r="K1817">
        <v>7</v>
      </c>
      <c r="M1817">
        <f t="shared" si="114"/>
        <v>-0.72967870461249518</v>
      </c>
      <c r="N1817">
        <f t="shared" si="115"/>
        <v>0.19855389801278633</v>
      </c>
    </row>
    <row r="1818" spans="1:14" x14ac:dyDescent="0.35">
      <c r="A1818">
        <v>1816</v>
      </c>
      <c r="B1818" t="s">
        <v>3</v>
      </c>
      <c r="C1818" t="s">
        <v>45</v>
      </c>
      <c r="D1818">
        <v>0.2</v>
      </c>
      <c r="E1818">
        <v>0.8</v>
      </c>
      <c r="F1818">
        <v>303.14999999999998</v>
      </c>
      <c r="G1818">
        <v>1945.0043025</v>
      </c>
      <c r="H1818">
        <f t="shared" si="112"/>
        <v>-0.61489068259417801</v>
      </c>
      <c r="I1818">
        <v>0.54069999999999996</v>
      </c>
      <c r="J1818" t="str">
        <f t="shared" si="113"/>
        <v>C=CC[P+](C1=CC=CC=C1)(C2=CC=CC=C2)C3=CC=CC=C3.[Br-]C(COCCO)O</v>
      </c>
      <c r="K1818">
        <v>7</v>
      </c>
      <c r="M1818">
        <f t="shared" si="114"/>
        <v>-0.72967870461249518</v>
      </c>
      <c r="N1818">
        <f t="shared" si="115"/>
        <v>0.46645377614462386</v>
      </c>
    </row>
    <row r="1819" spans="1:14" x14ac:dyDescent="0.35">
      <c r="A1819">
        <v>1817</v>
      </c>
      <c r="B1819" t="s">
        <v>3</v>
      </c>
      <c r="C1819" t="s">
        <v>60</v>
      </c>
      <c r="D1819">
        <v>0.2</v>
      </c>
      <c r="E1819">
        <v>0.8</v>
      </c>
      <c r="F1819">
        <v>303.14999999999998</v>
      </c>
      <c r="G1819">
        <v>142</v>
      </c>
      <c r="H1819">
        <f t="shared" si="112"/>
        <v>-3.32</v>
      </c>
      <c r="I1819">
        <v>3.6152831754046426E-2</v>
      </c>
      <c r="J1819" t="str">
        <f t="shared" si="113"/>
        <v>C=CC[P+](C1=CC=CC=C1)(C2=CC=CC=C2)C3=CC=CC=C3.[Br-]C(COCCOCCO)O</v>
      </c>
      <c r="K1819">
        <v>8</v>
      </c>
      <c r="M1819">
        <f t="shared" si="114"/>
        <v>-0.72967870461249518</v>
      </c>
      <c r="N1819">
        <f t="shared" si="115"/>
        <v>-0.54194036993304373</v>
      </c>
    </row>
    <row r="1820" spans="1:14" x14ac:dyDescent="0.35">
      <c r="A1820">
        <v>1818</v>
      </c>
      <c r="B1820" t="s">
        <v>3</v>
      </c>
      <c r="C1820" t="s">
        <v>60</v>
      </c>
      <c r="D1820">
        <v>0.2</v>
      </c>
      <c r="E1820">
        <v>0.8</v>
      </c>
      <c r="F1820">
        <v>303.14999999999998</v>
      </c>
      <c r="G1820">
        <v>333</v>
      </c>
      <c r="H1820">
        <f t="shared" si="112"/>
        <v>-2.46</v>
      </c>
      <c r="I1820">
        <v>8.5434950967321233E-2</v>
      </c>
      <c r="J1820" t="str">
        <f t="shared" si="113"/>
        <v>C=CC[P+](C1=CC=CC=C1)(C2=CC=CC=C2)C3=CC=CC=C3.[Br-]C(COCCOCCO)O</v>
      </c>
      <c r="K1820">
        <v>8</v>
      </c>
      <c r="M1820">
        <f t="shared" si="114"/>
        <v>-0.72967870461249518</v>
      </c>
      <c r="N1820">
        <f t="shared" si="115"/>
        <v>-0.43511684120725219</v>
      </c>
    </row>
    <row r="1821" spans="1:14" x14ac:dyDescent="0.35">
      <c r="A1821">
        <v>1819</v>
      </c>
      <c r="B1821" t="s">
        <v>3</v>
      </c>
      <c r="C1821" t="s">
        <v>60</v>
      </c>
      <c r="D1821">
        <v>0.2</v>
      </c>
      <c r="E1821">
        <v>0.8</v>
      </c>
      <c r="F1821">
        <v>303.14999999999998</v>
      </c>
      <c r="G1821">
        <v>490</v>
      </c>
      <c r="H1821">
        <f t="shared" si="112"/>
        <v>-2.06</v>
      </c>
      <c r="I1821">
        <v>0.12745396989482075</v>
      </c>
      <c r="J1821" t="str">
        <f t="shared" si="113"/>
        <v>C=CC[P+](C1=CC=CC=C1)(C2=CC=CC=C2)C3=CC=CC=C3.[Br-]C(COCCOCCO)O</v>
      </c>
      <c r="K1821">
        <v>8</v>
      </c>
      <c r="M1821">
        <f t="shared" si="114"/>
        <v>-0.72967870461249518</v>
      </c>
      <c r="N1821">
        <f t="shared" si="115"/>
        <v>-0.34730901916563295</v>
      </c>
    </row>
    <row r="1822" spans="1:14" x14ac:dyDescent="0.35">
      <c r="A1822">
        <v>1820</v>
      </c>
      <c r="B1822" t="s">
        <v>3</v>
      </c>
      <c r="C1822" t="s">
        <v>60</v>
      </c>
      <c r="D1822">
        <v>0.2</v>
      </c>
      <c r="E1822">
        <v>0.8</v>
      </c>
      <c r="F1822">
        <v>303.14999999999998</v>
      </c>
      <c r="G1822">
        <v>718</v>
      </c>
      <c r="H1822">
        <f t="shared" si="112"/>
        <v>-1.65</v>
      </c>
      <c r="I1822">
        <v>0.19204990862075413</v>
      </c>
      <c r="J1822" t="str">
        <f t="shared" si="113"/>
        <v>C=CC[P+](C1=CC=CC=C1)(C2=CC=CC=C2)C3=CC=CC=C3.[Br-]C(COCCOCCO)O</v>
      </c>
      <c r="K1822">
        <v>8</v>
      </c>
      <c r="M1822">
        <f t="shared" si="114"/>
        <v>-0.72967870461249518</v>
      </c>
      <c r="N1822">
        <f t="shared" si="115"/>
        <v>-0.21979192728353625</v>
      </c>
    </row>
    <row r="1823" spans="1:14" x14ac:dyDescent="0.35">
      <c r="A1823">
        <v>1821</v>
      </c>
      <c r="B1823" t="s">
        <v>3</v>
      </c>
      <c r="C1823" t="s">
        <v>60</v>
      </c>
      <c r="D1823">
        <v>0.2</v>
      </c>
      <c r="E1823">
        <v>0.8</v>
      </c>
      <c r="F1823">
        <v>303.14999999999998</v>
      </c>
      <c r="G1823">
        <v>874</v>
      </c>
      <c r="H1823">
        <f t="shared" si="112"/>
        <v>-1.41</v>
      </c>
      <c r="I1823">
        <v>0.24414328315343711</v>
      </c>
      <c r="J1823" t="str">
        <f t="shared" si="113"/>
        <v>C=CC[P+](C1=CC=CC=C1)(C2=CC=CC=C2)C3=CC=CC=C3.[Br-]C(COCCOCCO)O</v>
      </c>
      <c r="K1823">
        <v>8</v>
      </c>
      <c r="M1823">
        <f t="shared" si="114"/>
        <v>-0.72967870461249518</v>
      </c>
      <c r="N1823">
        <f t="shared" si="115"/>
        <v>-0.13254339073262797</v>
      </c>
    </row>
    <row r="1824" spans="1:14" x14ac:dyDescent="0.35">
      <c r="A1824">
        <v>1822</v>
      </c>
      <c r="B1824" t="s">
        <v>3</v>
      </c>
      <c r="C1824" t="s">
        <v>60</v>
      </c>
      <c r="D1824">
        <v>0.2</v>
      </c>
      <c r="E1824">
        <v>0.8</v>
      </c>
      <c r="F1824">
        <v>303.14999999999998</v>
      </c>
      <c r="G1824">
        <v>1070</v>
      </c>
      <c r="H1824">
        <f t="shared" si="112"/>
        <v>-1.2</v>
      </c>
      <c r="I1824">
        <v>0.30119421191220214</v>
      </c>
      <c r="J1824" t="str">
        <f t="shared" si="113"/>
        <v>C=CC[P+](C1=CC=CC=C1)(C2=CC=CC=C2)C3=CC=CC=C3.[Br-]C(COCCOCCO)O</v>
      </c>
      <c r="K1824">
        <v>8</v>
      </c>
      <c r="M1824">
        <f t="shared" si="114"/>
        <v>-0.72967870461249518</v>
      </c>
      <c r="N1824">
        <f t="shared" si="115"/>
        <v>-2.2923434553281653E-2</v>
      </c>
    </row>
    <row r="1825" spans="1:14" x14ac:dyDescent="0.35">
      <c r="A1825">
        <v>1823</v>
      </c>
      <c r="B1825" t="s">
        <v>3</v>
      </c>
      <c r="C1825" t="s">
        <v>60</v>
      </c>
      <c r="D1825">
        <v>0.2</v>
      </c>
      <c r="E1825">
        <v>0.8</v>
      </c>
      <c r="F1825">
        <v>303.14999999999998</v>
      </c>
      <c r="G1825">
        <v>1464.99738</v>
      </c>
      <c r="H1825">
        <f t="shared" si="112"/>
        <v>-0.84746454094430257</v>
      </c>
      <c r="I1825">
        <v>0.42849999999999999</v>
      </c>
      <c r="J1825" t="str">
        <f t="shared" si="113"/>
        <v>C=CC[P+](C1=CC=CC=C1)(C2=CC=CC=C2)C3=CC=CC=C3.[Br-]C(COCCOCCO)O</v>
      </c>
      <c r="K1825">
        <v>8</v>
      </c>
      <c r="M1825">
        <f t="shared" si="114"/>
        <v>-0.72967870461249518</v>
      </c>
      <c r="N1825">
        <f t="shared" si="115"/>
        <v>0.19799286894955814</v>
      </c>
    </row>
    <row r="1826" spans="1:14" x14ac:dyDescent="0.35">
      <c r="A1826">
        <v>1824</v>
      </c>
      <c r="B1826" t="s">
        <v>3</v>
      </c>
      <c r="C1826" t="s">
        <v>60</v>
      </c>
      <c r="D1826">
        <v>0.2</v>
      </c>
      <c r="E1826">
        <v>0.8</v>
      </c>
      <c r="F1826">
        <v>303.14999999999998</v>
      </c>
      <c r="G1826">
        <v>1949.9996249999999</v>
      </c>
      <c r="H1826">
        <f t="shared" si="112"/>
        <v>-0.58285882666582223</v>
      </c>
      <c r="I1826">
        <v>0.55830000000000002</v>
      </c>
      <c r="J1826" t="str">
        <f t="shared" si="113"/>
        <v>C=CC[P+](C1=CC=CC=C1)(C2=CC=CC=C2)C3=CC=CC=C3.[Br-]C(COCCOCCO)O</v>
      </c>
      <c r="K1826">
        <v>8</v>
      </c>
      <c r="M1826">
        <f t="shared" si="114"/>
        <v>-0.72967870461249518</v>
      </c>
      <c r="N1826">
        <f t="shared" si="115"/>
        <v>0.46924758754029577</v>
      </c>
    </row>
    <row r="1827" spans="1:14" x14ac:dyDescent="0.35">
      <c r="A1827">
        <v>1825</v>
      </c>
      <c r="B1827" t="s">
        <v>7</v>
      </c>
      <c r="C1827" t="s">
        <v>58</v>
      </c>
      <c r="D1827">
        <v>0.2</v>
      </c>
      <c r="E1827">
        <v>0.8</v>
      </c>
      <c r="F1827">
        <v>313.14999999999998</v>
      </c>
      <c r="G1827">
        <v>2360</v>
      </c>
      <c r="H1827">
        <f t="shared" si="112"/>
        <v>-2.36</v>
      </c>
      <c r="I1827">
        <v>9.4420223196302347E-2</v>
      </c>
      <c r="J1827" t="str">
        <f t="shared" si="113"/>
        <v>C[N+](C)(C)CCO.[Cl-]C1=CC=C(C=C1)O</v>
      </c>
      <c r="K1827">
        <v>84</v>
      </c>
      <c r="M1827">
        <f t="shared" si="114"/>
        <v>5.4037971934950142E-2</v>
      </c>
      <c r="N1827">
        <f t="shared" si="115"/>
        <v>0.69855484846384452</v>
      </c>
    </row>
    <row r="1828" spans="1:14" x14ac:dyDescent="0.35">
      <c r="A1828">
        <v>1826</v>
      </c>
      <c r="B1828" t="s">
        <v>7</v>
      </c>
      <c r="C1828" t="s">
        <v>58</v>
      </c>
      <c r="D1828">
        <v>0.2</v>
      </c>
      <c r="E1828">
        <v>0.8</v>
      </c>
      <c r="F1828">
        <v>313.14999999999998</v>
      </c>
      <c r="G1828">
        <v>4470</v>
      </c>
      <c r="H1828">
        <f t="shared" si="112"/>
        <v>-1.97</v>
      </c>
      <c r="I1828">
        <v>0.13945685621505094</v>
      </c>
      <c r="J1828" t="str">
        <f t="shared" si="113"/>
        <v>C[N+](C)(C)CCO.[Cl-]C1=CC=C(C=C1)O</v>
      </c>
      <c r="K1828">
        <v>84</v>
      </c>
      <c r="M1828">
        <f t="shared" si="114"/>
        <v>5.4037971934950142E-2</v>
      </c>
      <c r="N1828">
        <f t="shared" si="115"/>
        <v>1.8786472338639502</v>
      </c>
    </row>
    <row r="1829" spans="1:14" x14ac:dyDescent="0.35">
      <c r="A1829">
        <v>1827</v>
      </c>
      <c r="B1829" t="s">
        <v>11</v>
      </c>
      <c r="C1829" t="s">
        <v>51</v>
      </c>
      <c r="D1829">
        <v>0.2</v>
      </c>
      <c r="E1829">
        <v>0.8</v>
      </c>
      <c r="F1829">
        <v>303.14999999999998</v>
      </c>
      <c r="G1829">
        <v>506</v>
      </c>
      <c r="H1829">
        <f t="shared" si="112"/>
        <v>-2.9187712324178627</v>
      </c>
      <c r="I1829">
        <v>5.3999999999999999E-2</v>
      </c>
      <c r="J1829" t="str">
        <f t="shared" si="113"/>
        <v>CCCC[N+](CCCC)(CCCC)CCCC.[Br-]CCCCCC(=O)O</v>
      </c>
      <c r="K1829">
        <v>31</v>
      </c>
      <c r="M1829">
        <f t="shared" si="114"/>
        <v>-0.72967870461249518</v>
      </c>
      <c r="N1829">
        <f t="shared" si="115"/>
        <v>-0.33836045131425774</v>
      </c>
    </row>
    <row r="1830" spans="1:14" x14ac:dyDescent="0.35">
      <c r="A1830">
        <v>1828</v>
      </c>
      <c r="B1830" t="s">
        <v>11</v>
      </c>
      <c r="C1830" t="s">
        <v>51</v>
      </c>
      <c r="D1830">
        <v>0.2</v>
      </c>
      <c r="E1830">
        <v>0.8</v>
      </c>
      <c r="F1830">
        <v>303.14999999999998</v>
      </c>
      <c r="G1830">
        <v>623</v>
      </c>
      <c r="H1830">
        <f t="shared" si="112"/>
        <v>-2.7379940774752822</v>
      </c>
      <c r="I1830">
        <v>6.4699999999999994E-2</v>
      </c>
      <c r="J1830" t="str">
        <f t="shared" si="113"/>
        <v>CCCC[N+](CCCC)(CCCC)CCCC.[Br-]CCCCCC(=O)O</v>
      </c>
      <c r="K1830">
        <v>31</v>
      </c>
      <c r="M1830">
        <f t="shared" si="114"/>
        <v>-0.72967870461249518</v>
      </c>
      <c r="N1830">
        <f t="shared" si="115"/>
        <v>-0.27292404890107652</v>
      </c>
    </row>
    <row r="1831" spans="1:14" x14ac:dyDescent="0.35">
      <c r="A1831">
        <v>1829</v>
      </c>
      <c r="B1831" t="s">
        <v>11</v>
      </c>
      <c r="C1831" t="s">
        <v>51</v>
      </c>
      <c r="D1831">
        <v>0.2</v>
      </c>
      <c r="E1831">
        <v>0.8</v>
      </c>
      <c r="F1831">
        <v>303.14999999999998</v>
      </c>
      <c r="G1831">
        <v>826</v>
      </c>
      <c r="H1831">
        <f t="shared" si="112"/>
        <v>-2.5182566294695543</v>
      </c>
      <c r="I1831">
        <v>8.0600000000000005E-2</v>
      </c>
      <c r="J1831" t="str">
        <f t="shared" si="113"/>
        <v>CCCC[N+](CCCC)(CCCC)CCCC.[Br-]CCCCCC(=O)O</v>
      </c>
      <c r="K1831">
        <v>31</v>
      </c>
      <c r="M1831">
        <f t="shared" si="114"/>
        <v>-0.72967870461249518</v>
      </c>
      <c r="N1831">
        <f t="shared" si="115"/>
        <v>-0.15938909428675357</v>
      </c>
    </row>
    <row r="1832" spans="1:14" x14ac:dyDescent="0.35">
      <c r="A1832">
        <v>1830</v>
      </c>
      <c r="B1832" t="s">
        <v>11</v>
      </c>
      <c r="C1832" t="s">
        <v>51</v>
      </c>
      <c r="D1832">
        <v>0.2</v>
      </c>
      <c r="E1832">
        <v>0.8</v>
      </c>
      <c r="F1832">
        <v>303.14999999999998</v>
      </c>
      <c r="G1832">
        <v>930</v>
      </c>
      <c r="H1832">
        <f t="shared" si="112"/>
        <v>-2.364460496712133</v>
      </c>
      <c r="I1832">
        <v>9.4E-2</v>
      </c>
      <c r="J1832" t="str">
        <f t="shared" si="113"/>
        <v>CCCC[N+](CCCC)(CCCC)CCCC.[Br-]CCCCCC(=O)O</v>
      </c>
      <c r="K1832">
        <v>31</v>
      </c>
      <c r="M1832">
        <f t="shared" si="114"/>
        <v>-0.72967870461249518</v>
      </c>
      <c r="N1832">
        <f t="shared" si="115"/>
        <v>-0.10122340325281473</v>
      </c>
    </row>
    <row r="1833" spans="1:14" x14ac:dyDescent="0.35">
      <c r="A1833">
        <v>1831</v>
      </c>
      <c r="B1833" t="s">
        <v>11</v>
      </c>
      <c r="C1833" t="s">
        <v>51</v>
      </c>
      <c r="D1833">
        <v>0.2</v>
      </c>
      <c r="E1833">
        <v>0.8</v>
      </c>
      <c r="F1833">
        <v>303.14999999999998</v>
      </c>
      <c r="G1833">
        <v>1035</v>
      </c>
      <c r="H1833">
        <f t="shared" si="112"/>
        <v>-2.2926347621408776</v>
      </c>
      <c r="I1833">
        <v>0.10100000000000001</v>
      </c>
      <c r="J1833" t="str">
        <f t="shared" si="113"/>
        <v>CCCC[N+](CCCC)(CCCC)CCCC.[Br-]CCCCCC(=O)O</v>
      </c>
      <c r="K1833">
        <v>31</v>
      </c>
      <c r="M1833">
        <f t="shared" si="114"/>
        <v>-0.72967870461249518</v>
      </c>
      <c r="N1833">
        <f t="shared" si="115"/>
        <v>-4.2498426728164923E-2</v>
      </c>
    </row>
    <row r="1834" spans="1:14" x14ac:dyDescent="0.35">
      <c r="A1834">
        <v>1832</v>
      </c>
      <c r="B1834" t="s">
        <v>11</v>
      </c>
      <c r="C1834" t="s">
        <v>51</v>
      </c>
      <c r="D1834">
        <v>0.2</v>
      </c>
      <c r="E1834">
        <v>0.8</v>
      </c>
      <c r="F1834">
        <v>303.14999999999998</v>
      </c>
      <c r="G1834">
        <v>1125</v>
      </c>
      <c r="H1834">
        <f t="shared" si="112"/>
        <v>-2.2045513527226803</v>
      </c>
      <c r="I1834">
        <v>0.1103</v>
      </c>
      <c r="J1834" t="str">
        <f t="shared" si="113"/>
        <v>CCCC[N+](CCCC)(CCCC)CCCC.[Br-]CCCCCC(=O)O</v>
      </c>
      <c r="K1834">
        <v>31</v>
      </c>
      <c r="M1834">
        <f t="shared" si="114"/>
        <v>-0.72967870461249518</v>
      </c>
      <c r="N1834">
        <f t="shared" si="115"/>
        <v>7.8372674358206246E-3</v>
      </c>
    </row>
    <row r="1835" spans="1:14" x14ac:dyDescent="0.35">
      <c r="A1835">
        <v>1833</v>
      </c>
      <c r="B1835" t="s">
        <v>11</v>
      </c>
      <c r="C1835" t="s">
        <v>51</v>
      </c>
      <c r="D1835">
        <v>0.2</v>
      </c>
      <c r="E1835">
        <v>0.8</v>
      </c>
      <c r="F1835">
        <v>303.14999999999998</v>
      </c>
      <c r="G1835">
        <v>1335</v>
      </c>
      <c r="H1835">
        <f t="shared" si="112"/>
        <v>-2.0363820522193889</v>
      </c>
      <c r="I1835">
        <v>0.1305</v>
      </c>
      <c r="J1835" t="str">
        <f t="shared" si="113"/>
        <v>CCCC[N+](CCCC)(CCCC)CCCC.[Br-]CCCCCC(=O)O</v>
      </c>
      <c r="K1835">
        <v>31</v>
      </c>
      <c r="M1835">
        <f t="shared" si="114"/>
        <v>-0.72967870461249518</v>
      </c>
      <c r="N1835">
        <f t="shared" si="115"/>
        <v>0.12528722048512023</v>
      </c>
    </row>
    <row r="1836" spans="1:14" x14ac:dyDescent="0.35">
      <c r="A1836">
        <v>1834</v>
      </c>
      <c r="B1836" t="s">
        <v>11</v>
      </c>
      <c r="C1836" t="s">
        <v>51</v>
      </c>
      <c r="D1836">
        <v>0.2</v>
      </c>
      <c r="E1836">
        <v>0.8</v>
      </c>
      <c r="F1836">
        <v>313.14999999999998</v>
      </c>
      <c r="G1836">
        <v>521</v>
      </c>
      <c r="H1836">
        <f t="shared" si="112"/>
        <v>-3.11</v>
      </c>
      <c r="I1836">
        <v>4.4600955340274535E-2</v>
      </c>
      <c r="J1836" t="str">
        <f t="shared" si="113"/>
        <v>CCCC[N+](CCCC)(CCCC)CCCC.[Br-]CCCCCC(=O)O</v>
      </c>
      <c r="K1836">
        <v>31</v>
      </c>
      <c r="M1836">
        <f t="shared" si="114"/>
        <v>5.4037971934950142E-2</v>
      </c>
      <c r="N1836">
        <f t="shared" si="115"/>
        <v>-0.32997116895359352</v>
      </c>
    </row>
    <row r="1837" spans="1:14" x14ac:dyDescent="0.35">
      <c r="A1837">
        <v>1835</v>
      </c>
      <c r="B1837" t="s">
        <v>11</v>
      </c>
      <c r="C1837" t="s">
        <v>51</v>
      </c>
      <c r="D1837">
        <v>0.2</v>
      </c>
      <c r="E1837">
        <v>0.8</v>
      </c>
      <c r="F1837">
        <v>313.14999999999998</v>
      </c>
      <c r="G1837">
        <v>627</v>
      </c>
      <c r="H1837">
        <f t="shared" si="112"/>
        <v>-2.91</v>
      </c>
      <c r="I1837">
        <v>5.4475729869189859E-2</v>
      </c>
      <c r="J1837" t="str">
        <f t="shared" si="113"/>
        <v>CCCC[N+](CCCC)(CCCC)CCCC.[Br-]CCCCCC(=O)O</v>
      </c>
      <c r="K1837">
        <v>31</v>
      </c>
      <c r="M1837">
        <f t="shared" si="114"/>
        <v>5.4037971934950142E-2</v>
      </c>
      <c r="N1837">
        <f t="shared" si="115"/>
        <v>-0.27068690693823272</v>
      </c>
    </row>
    <row r="1838" spans="1:14" x14ac:dyDescent="0.35">
      <c r="A1838">
        <v>1836</v>
      </c>
      <c r="B1838" t="s">
        <v>11</v>
      </c>
      <c r="C1838" t="s">
        <v>51</v>
      </c>
      <c r="D1838">
        <v>0.2</v>
      </c>
      <c r="E1838">
        <v>0.8</v>
      </c>
      <c r="F1838">
        <v>313.14999999999998</v>
      </c>
      <c r="G1838">
        <v>754</v>
      </c>
      <c r="H1838">
        <f t="shared" si="112"/>
        <v>-2.8084231752489974</v>
      </c>
      <c r="I1838">
        <v>6.0299999999999999E-2</v>
      </c>
      <c r="J1838" t="str">
        <f t="shared" si="113"/>
        <v>CCCC[N+](CCCC)(CCCC)CCCC.[Br-]CCCCCC(=O)O</v>
      </c>
      <c r="K1838">
        <v>31</v>
      </c>
      <c r="M1838">
        <f t="shared" si="114"/>
        <v>5.4037971934950142E-2</v>
      </c>
      <c r="N1838">
        <f t="shared" si="115"/>
        <v>-0.19965764961794202</v>
      </c>
    </row>
    <row r="1839" spans="1:14" x14ac:dyDescent="0.35">
      <c r="A1839">
        <v>1837</v>
      </c>
      <c r="B1839" t="s">
        <v>11</v>
      </c>
      <c r="C1839" t="s">
        <v>51</v>
      </c>
      <c r="D1839">
        <v>0.2</v>
      </c>
      <c r="E1839">
        <v>0.8</v>
      </c>
      <c r="F1839">
        <v>313.14999999999998</v>
      </c>
      <c r="G1839">
        <v>829</v>
      </c>
      <c r="H1839">
        <f t="shared" si="112"/>
        <v>-2.6722005482085129</v>
      </c>
      <c r="I1839">
        <v>6.9099999999999995E-2</v>
      </c>
      <c r="J1839" t="str">
        <f t="shared" si="113"/>
        <v>CCCC[N+](CCCC)(CCCC)CCCC.[Br-]CCCCCC(=O)O</v>
      </c>
      <c r="K1839">
        <v>31</v>
      </c>
      <c r="M1839">
        <f t="shared" si="114"/>
        <v>5.4037971934950142E-2</v>
      </c>
      <c r="N1839">
        <f t="shared" si="115"/>
        <v>-0.15771123781462074</v>
      </c>
    </row>
    <row r="1840" spans="1:14" x14ac:dyDescent="0.35">
      <c r="A1840">
        <v>1838</v>
      </c>
      <c r="B1840" t="s">
        <v>11</v>
      </c>
      <c r="C1840" t="s">
        <v>51</v>
      </c>
      <c r="D1840">
        <v>0.2</v>
      </c>
      <c r="E1840">
        <v>0.8</v>
      </c>
      <c r="F1840">
        <v>313.14999999999998</v>
      </c>
      <c r="G1840">
        <v>911</v>
      </c>
      <c r="H1840">
        <f t="shared" si="112"/>
        <v>-2.6050424510279813</v>
      </c>
      <c r="I1840">
        <v>7.3899999999999993E-2</v>
      </c>
      <c r="J1840" t="str">
        <f t="shared" si="113"/>
        <v>CCCC[N+](CCCC)(CCCC)CCCC.[Br-]CCCCCC(=O)O</v>
      </c>
      <c r="K1840">
        <v>31</v>
      </c>
      <c r="M1840">
        <f t="shared" si="114"/>
        <v>5.4037971934950142E-2</v>
      </c>
      <c r="N1840">
        <f t="shared" si="115"/>
        <v>-0.11184982757632279</v>
      </c>
    </row>
    <row r="1841" spans="1:14" x14ac:dyDescent="0.35">
      <c r="A1841">
        <v>1839</v>
      </c>
      <c r="B1841" t="s">
        <v>11</v>
      </c>
      <c r="C1841" t="s">
        <v>51</v>
      </c>
      <c r="D1841">
        <v>0.2</v>
      </c>
      <c r="E1841">
        <v>0.8</v>
      </c>
      <c r="F1841">
        <v>313.14999999999998</v>
      </c>
      <c r="G1841">
        <v>990</v>
      </c>
      <c r="H1841">
        <f t="shared" si="112"/>
        <v>-2.4925356769524916</v>
      </c>
      <c r="I1841">
        <v>8.2699999999999996E-2</v>
      </c>
      <c r="J1841" t="str">
        <f t="shared" si="113"/>
        <v>CCCC[N+](CCCC)(CCCC)CCCC.[Br-]CCCCCC(=O)O</v>
      </c>
      <c r="K1841">
        <v>31</v>
      </c>
      <c r="M1841">
        <f t="shared" si="114"/>
        <v>5.4037971934950142E-2</v>
      </c>
      <c r="N1841">
        <f t="shared" si="115"/>
        <v>-6.766627381015769E-2</v>
      </c>
    </row>
    <row r="1842" spans="1:14" x14ac:dyDescent="0.35">
      <c r="A1842">
        <v>1840</v>
      </c>
      <c r="B1842" t="s">
        <v>11</v>
      </c>
      <c r="C1842" t="s">
        <v>51</v>
      </c>
      <c r="D1842">
        <v>0.2</v>
      </c>
      <c r="E1842">
        <v>0.8</v>
      </c>
      <c r="F1842">
        <v>313.14999999999998</v>
      </c>
      <c r="G1842">
        <v>1170</v>
      </c>
      <c r="H1842">
        <f t="shared" si="112"/>
        <v>-2.3990959933748894</v>
      </c>
      <c r="I1842">
        <v>9.0800000000000006E-2</v>
      </c>
      <c r="J1842" t="str">
        <f t="shared" si="113"/>
        <v>CCCC[N+](CCCC)(CCCC)CCCC.[Br-]CCCCCC(=O)O</v>
      </c>
      <c r="K1842">
        <v>31</v>
      </c>
      <c r="M1842">
        <f t="shared" si="114"/>
        <v>5.4037971934950142E-2</v>
      </c>
      <c r="N1842">
        <f t="shared" si="115"/>
        <v>3.3005114517813398E-2</v>
      </c>
    </row>
    <row r="1843" spans="1:14" x14ac:dyDescent="0.35">
      <c r="A1843">
        <v>1841</v>
      </c>
      <c r="B1843" t="s">
        <v>11</v>
      </c>
      <c r="C1843" t="s">
        <v>51</v>
      </c>
      <c r="D1843">
        <v>0.2</v>
      </c>
      <c r="E1843">
        <v>0.8</v>
      </c>
      <c r="F1843">
        <v>323.14999999999998</v>
      </c>
      <c r="G1843">
        <v>457</v>
      </c>
      <c r="H1843">
        <f t="shared" si="112"/>
        <v>-3.48</v>
      </c>
      <c r="I1843">
        <v>3.0807411032751076E-2</v>
      </c>
      <c r="J1843" t="str">
        <f t="shared" si="113"/>
        <v>CCCC[N+](CCCC)(CCCC)CCCC.[Br-]CCCCCC(=O)O</v>
      </c>
      <c r="K1843">
        <v>31</v>
      </c>
      <c r="M1843">
        <f t="shared" si="114"/>
        <v>0.83775464848239545</v>
      </c>
      <c r="N1843">
        <f t="shared" si="115"/>
        <v>-0.36576544035909431</v>
      </c>
    </row>
    <row r="1844" spans="1:14" x14ac:dyDescent="0.35">
      <c r="A1844">
        <v>1842</v>
      </c>
      <c r="B1844" t="s">
        <v>11</v>
      </c>
      <c r="C1844" t="s">
        <v>51</v>
      </c>
      <c r="D1844">
        <v>0.2</v>
      </c>
      <c r="E1844">
        <v>0.8</v>
      </c>
      <c r="F1844">
        <v>323.14999999999998</v>
      </c>
      <c r="G1844">
        <v>540</v>
      </c>
      <c r="H1844">
        <f t="shared" si="112"/>
        <v>-3.32</v>
      </c>
      <c r="I1844">
        <v>3.6152831754046426E-2</v>
      </c>
      <c r="J1844" t="str">
        <f t="shared" si="113"/>
        <v>CCCC[N+](CCCC)(CCCC)CCCC.[Br-]CCCCCC(=O)O</v>
      </c>
      <c r="K1844">
        <v>31</v>
      </c>
      <c r="M1844">
        <f t="shared" si="114"/>
        <v>0.83775464848239545</v>
      </c>
      <c r="N1844">
        <f t="shared" si="115"/>
        <v>-0.31934474463008544</v>
      </c>
    </row>
    <row r="1845" spans="1:14" x14ac:dyDescent="0.35">
      <c r="A1845">
        <v>1843</v>
      </c>
      <c r="B1845" t="s">
        <v>11</v>
      </c>
      <c r="C1845" t="s">
        <v>51</v>
      </c>
      <c r="D1845">
        <v>0.2</v>
      </c>
      <c r="E1845">
        <v>0.8</v>
      </c>
      <c r="F1845">
        <v>323.14999999999998</v>
      </c>
      <c r="G1845">
        <v>652</v>
      </c>
      <c r="H1845">
        <f t="shared" si="112"/>
        <v>-3.1559010257068123</v>
      </c>
      <c r="I1845">
        <v>4.2599999999999999E-2</v>
      </c>
      <c r="J1845" t="str">
        <f t="shared" si="113"/>
        <v>CCCC[N+](CCCC)(CCCC)CCCC.[Br-]CCCCCC(=O)O</v>
      </c>
      <c r="K1845">
        <v>31</v>
      </c>
      <c r="M1845">
        <f t="shared" si="114"/>
        <v>0.83775464848239545</v>
      </c>
      <c r="N1845">
        <f t="shared" si="115"/>
        <v>-0.25670476967045897</v>
      </c>
    </row>
    <row r="1846" spans="1:14" x14ac:dyDescent="0.35">
      <c r="A1846">
        <v>1844</v>
      </c>
      <c r="B1846" t="s">
        <v>11</v>
      </c>
      <c r="C1846" t="s">
        <v>51</v>
      </c>
      <c r="D1846">
        <v>0.2</v>
      </c>
      <c r="E1846">
        <v>0.8</v>
      </c>
      <c r="F1846">
        <v>323.14999999999998</v>
      </c>
      <c r="G1846">
        <v>723</v>
      </c>
      <c r="H1846">
        <f t="shared" si="112"/>
        <v>-3.03</v>
      </c>
      <c r="I1846">
        <v>4.8315638126067789E-2</v>
      </c>
      <c r="J1846" t="str">
        <f t="shared" si="113"/>
        <v>CCCC[N+](CCCC)(CCCC)CCCC.[Br-]CCCCCC(=O)O</v>
      </c>
      <c r="K1846">
        <v>31</v>
      </c>
      <c r="M1846">
        <f t="shared" si="114"/>
        <v>0.83775464848239545</v>
      </c>
      <c r="N1846">
        <f t="shared" si="115"/>
        <v>-0.21699549982998148</v>
      </c>
    </row>
    <row r="1847" spans="1:14" x14ac:dyDescent="0.35">
      <c r="A1847">
        <v>1845</v>
      </c>
      <c r="B1847" t="s">
        <v>11</v>
      </c>
      <c r="C1847" t="s">
        <v>51</v>
      </c>
      <c r="D1847">
        <v>0.2</v>
      </c>
      <c r="E1847">
        <v>0.8</v>
      </c>
      <c r="F1847">
        <v>323.14999999999998</v>
      </c>
      <c r="G1847">
        <v>847</v>
      </c>
      <c r="H1847">
        <f t="shared" si="112"/>
        <v>-2.9040650850281673</v>
      </c>
      <c r="I1847">
        <v>5.4800000000000001E-2</v>
      </c>
      <c r="J1847" t="str">
        <f t="shared" si="113"/>
        <v>CCCC[N+](CCCC)(CCCC)CCCC.[Br-]CCCCCC(=O)O</v>
      </c>
      <c r="K1847">
        <v>31</v>
      </c>
      <c r="M1847">
        <f t="shared" si="114"/>
        <v>0.83775464848239545</v>
      </c>
      <c r="N1847">
        <f t="shared" si="115"/>
        <v>-0.14764409898182362</v>
      </c>
    </row>
    <row r="1848" spans="1:14" x14ac:dyDescent="0.35">
      <c r="A1848">
        <v>1846</v>
      </c>
      <c r="B1848" t="s">
        <v>11</v>
      </c>
      <c r="C1848" t="s">
        <v>51</v>
      </c>
      <c r="D1848">
        <v>0.2</v>
      </c>
      <c r="E1848">
        <v>0.8</v>
      </c>
      <c r="F1848">
        <v>323.14999999999998</v>
      </c>
      <c r="G1848">
        <v>993</v>
      </c>
      <c r="H1848">
        <f t="shared" si="112"/>
        <v>-2.7257051363409306</v>
      </c>
      <c r="I1848">
        <v>6.5500000000000003E-2</v>
      </c>
      <c r="J1848" t="str">
        <f t="shared" si="113"/>
        <v>CCCC[N+](CCCC)(CCCC)CCCC.[Br-]CCCCCC(=O)O</v>
      </c>
      <c r="K1848">
        <v>31</v>
      </c>
      <c r="M1848">
        <f t="shared" si="114"/>
        <v>0.83775464848239545</v>
      </c>
      <c r="N1848">
        <f t="shared" si="115"/>
        <v>-6.5988417338024838E-2</v>
      </c>
    </row>
    <row r="1849" spans="1:14" x14ac:dyDescent="0.35">
      <c r="A1849">
        <v>1847</v>
      </c>
      <c r="B1849" t="s">
        <v>11</v>
      </c>
      <c r="C1849" t="s">
        <v>51</v>
      </c>
      <c r="D1849">
        <v>0.2</v>
      </c>
      <c r="E1849">
        <v>0.8</v>
      </c>
      <c r="F1849">
        <v>323.14999999999998</v>
      </c>
      <c r="G1849">
        <v>1145</v>
      </c>
      <c r="H1849">
        <f t="shared" si="112"/>
        <v>-2.5942751868433653</v>
      </c>
      <c r="I1849">
        <v>7.4700000000000003E-2</v>
      </c>
      <c r="J1849" t="str">
        <f t="shared" si="113"/>
        <v>CCCC[N+](CCCC)(CCCC)CCCC.[Br-]CCCCCC(=O)O</v>
      </c>
      <c r="K1849">
        <v>31</v>
      </c>
      <c r="M1849">
        <f t="shared" si="114"/>
        <v>0.83775464848239545</v>
      </c>
      <c r="N1849">
        <f t="shared" si="115"/>
        <v>1.9022977250039635E-2</v>
      </c>
    </row>
    <row r="1850" spans="1:14" x14ac:dyDescent="0.35">
      <c r="A1850">
        <v>1848</v>
      </c>
      <c r="B1850" t="s">
        <v>15</v>
      </c>
      <c r="C1850" t="s">
        <v>75</v>
      </c>
      <c r="D1850">
        <v>0.2</v>
      </c>
      <c r="E1850">
        <v>0.8</v>
      </c>
      <c r="F1850">
        <v>303.14999999999998</v>
      </c>
      <c r="G1850">
        <v>483</v>
      </c>
      <c r="H1850">
        <f t="shared" si="112"/>
        <v>-3.33</v>
      </c>
      <c r="I1850">
        <v>3.5793105067655297E-2</v>
      </c>
      <c r="J1850" t="str">
        <f t="shared" si="113"/>
        <v>CC[N+](CC)(CC)CC.[Cl-]CCCCCC(=O)O</v>
      </c>
      <c r="K1850">
        <v>57</v>
      </c>
      <c r="M1850">
        <f t="shared" si="114"/>
        <v>-0.72967870461249518</v>
      </c>
      <c r="N1850">
        <f t="shared" si="115"/>
        <v>-0.35122401760060962</v>
      </c>
    </row>
    <row r="1851" spans="1:14" x14ac:dyDescent="0.35">
      <c r="A1851">
        <v>1849</v>
      </c>
      <c r="B1851" t="s">
        <v>15</v>
      </c>
      <c r="C1851" t="s">
        <v>75</v>
      </c>
      <c r="D1851">
        <v>0.2</v>
      </c>
      <c r="E1851">
        <v>0.8</v>
      </c>
      <c r="F1851">
        <v>303.14999999999998</v>
      </c>
      <c r="G1851">
        <v>578</v>
      </c>
      <c r="H1851">
        <f t="shared" si="112"/>
        <v>-3.13</v>
      </c>
      <c r="I1851">
        <v>4.3717797252750941E-2</v>
      </c>
      <c r="J1851" t="str">
        <f t="shared" si="113"/>
        <v>CC[N+](CC)(CC)CC.[Cl-]CCCCCC(=O)O</v>
      </c>
      <c r="K1851">
        <v>57</v>
      </c>
      <c r="M1851">
        <f t="shared" si="114"/>
        <v>-0.72967870461249518</v>
      </c>
      <c r="N1851">
        <f t="shared" si="115"/>
        <v>-0.29809189598306929</v>
      </c>
    </row>
    <row r="1852" spans="1:14" x14ac:dyDescent="0.35">
      <c r="A1852">
        <v>1850</v>
      </c>
      <c r="B1852" t="s">
        <v>15</v>
      </c>
      <c r="C1852" t="s">
        <v>75</v>
      </c>
      <c r="D1852">
        <v>0.2</v>
      </c>
      <c r="E1852">
        <v>0.8</v>
      </c>
      <c r="F1852">
        <v>303.14999999999998</v>
      </c>
      <c r="G1852">
        <v>661</v>
      </c>
      <c r="H1852">
        <f t="shared" si="112"/>
        <v>-3.0661547378505367</v>
      </c>
      <c r="I1852">
        <v>4.6600000000000003E-2</v>
      </c>
      <c r="J1852" t="str">
        <f t="shared" si="113"/>
        <v>CC[N+](CC)(CC)CC.[Cl-]CCCCCC(=O)O</v>
      </c>
      <c r="K1852">
        <v>57</v>
      </c>
      <c r="M1852">
        <f t="shared" si="114"/>
        <v>-0.72967870461249518</v>
      </c>
      <c r="N1852">
        <f t="shared" si="115"/>
        <v>-0.25167120025406042</v>
      </c>
    </row>
    <row r="1853" spans="1:14" x14ac:dyDescent="0.35">
      <c r="A1853">
        <v>1851</v>
      </c>
      <c r="B1853" t="s">
        <v>15</v>
      </c>
      <c r="C1853" t="s">
        <v>75</v>
      </c>
      <c r="D1853">
        <v>0.2</v>
      </c>
      <c r="E1853">
        <v>0.8</v>
      </c>
      <c r="F1853">
        <v>303.14999999999998</v>
      </c>
      <c r="G1853">
        <v>824</v>
      </c>
      <c r="H1853">
        <f t="shared" si="112"/>
        <v>-2.7790092900427039</v>
      </c>
      <c r="I1853">
        <v>6.2100000000000002E-2</v>
      </c>
      <c r="J1853" t="str">
        <f t="shared" si="113"/>
        <v>CC[N+](CC)(CC)CC.[Cl-]CCCCCC(=O)O</v>
      </c>
      <c r="K1853">
        <v>57</v>
      </c>
      <c r="M1853">
        <f t="shared" si="114"/>
        <v>-0.72967870461249518</v>
      </c>
      <c r="N1853">
        <f t="shared" si="115"/>
        <v>-0.16050766526817548</v>
      </c>
    </row>
    <row r="1854" spans="1:14" x14ac:dyDescent="0.35">
      <c r="A1854">
        <v>1852</v>
      </c>
      <c r="B1854" t="s">
        <v>15</v>
      </c>
      <c r="C1854" t="s">
        <v>75</v>
      </c>
      <c r="D1854">
        <v>0.2</v>
      </c>
      <c r="E1854">
        <v>0.8</v>
      </c>
      <c r="F1854">
        <v>303.14999999999998</v>
      </c>
      <c r="G1854">
        <v>922</v>
      </c>
      <c r="H1854">
        <f t="shared" si="112"/>
        <v>-2.6765515340428392</v>
      </c>
      <c r="I1854">
        <v>6.88E-2</v>
      </c>
      <c r="J1854" t="str">
        <f t="shared" si="113"/>
        <v>CC[N+](CC)(CC)CC.[Cl-]CCCCCC(=O)O</v>
      </c>
      <c r="K1854">
        <v>57</v>
      </c>
      <c r="M1854">
        <f t="shared" si="114"/>
        <v>-0.72967870461249518</v>
      </c>
      <c r="N1854">
        <f t="shared" si="115"/>
        <v>-0.10569768717850234</v>
      </c>
    </row>
    <row r="1855" spans="1:14" x14ac:dyDescent="0.35">
      <c r="A1855">
        <v>1853</v>
      </c>
      <c r="B1855" t="s">
        <v>15</v>
      </c>
      <c r="C1855" t="s">
        <v>75</v>
      </c>
      <c r="D1855">
        <v>0.2</v>
      </c>
      <c r="E1855">
        <v>0.8</v>
      </c>
      <c r="F1855">
        <v>303.14999999999998</v>
      </c>
      <c r="G1855">
        <v>1024</v>
      </c>
      <c r="H1855">
        <f t="shared" si="112"/>
        <v>-2.5639498571284531</v>
      </c>
      <c r="I1855">
        <v>7.6999999999999999E-2</v>
      </c>
      <c r="J1855" t="str">
        <f t="shared" si="113"/>
        <v>CC[N+](CC)(CC)CC.[Cl-]CCCCCC(=O)O</v>
      </c>
      <c r="K1855">
        <v>57</v>
      </c>
      <c r="M1855">
        <f t="shared" si="114"/>
        <v>-0.72967870461249518</v>
      </c>
      <c r="N1855">
        <f t="shared" si="115"/>
        <v>-4.8650567125985381E-2</v>
      </c>
    </row>
    <row r="1856" spans="1:14" x14ac:dyDescent="0.35">
      <c r="A1856">
        <v>1854</v>
      </c>
      <c r="B1856" t="s">
        <v>15</v>
      </c>
      <c r="C1856" t="s">
        <v>75</v>
      </c>
      <c r="D1856">
        <v>0.2</v>
      </c>
      <c r="E1856">
        <v>0.8</v>
      </c>
      <c r="F1856">
        <v>303.14999999999998</v>
      </c>
      <c r="G1856">
        <v>1263</v>
      </c>
      <c r="H1856">
        <f t="shared" si="112"/>
        <v>-2.3486290314954523</v>
      </c>
      <c r="I1856">
        <v>9.5500000000000002E-2</v>
      </c>
      <c r="J1856" t="str">
        <f t="shared" si="113"/>
        <v>CC[N+](CC)(CC)CC.[Cl-]CCCCCC(=O)O</v>
      </c>
      <c r="K1856">
        <v>57</v>
      </c>
      <c r="M1856">
        <f t="shared" si="114"/>
        <v>-0.72967870461249518</v>
      </c>
      <c r="N1856">
        <f t="shared" si="115"/>
        <v>8.5018665153931791E-2</v>
      </c>
    </row>
    <row r="1857" spans="1:14" x14ac:dyDescent="0.35">
      <c r="A1857">
        <v>1855</v>
      </c>
      <c r="B1857" t="s">
        <v>15</v>
      </c>
      <c r="C1857" t="s">
        <v>75</v>
      </c>
      <c r="D1857">
        <v>0.2</v>
      </c>
      <c r="E1857">
        <v>0.8</v>
      </c>
      <c r="F1857">
        <v>313.14999999999998</v>
      </c>
      <c r="G1857">
        <v>388</v>
      </c>
      <c r="H1857">
        <f t="shared" si="112"/>
        <v>-3.71</v>
      </c>
      <c r="I1857">
        <v>2.447752327165267E-2</v>
      </c>
      <c r="J1857" t="str">
        <f t="shared" si="113"/>
        <v>CC[N+](CC)(CC)CC.[Cl-]CCCCCC(=O)O</v>
      </c>
      <c r="K1857">
        <v>57</v>
      </c>
      <c r="M1857">
        <f t="shared" si="114"/>
        <v>5.4037971934950142E-2</v>
      </c>
      <c r="N1857">
        <f t="shared" si="115"/>
        <v>-0.40435613921814989</v>
      </c>
    </row>
    <row r="1858" spans="1:14" x14ac:dyDescent="0.35">
      <c r="A1858">
        <v>1856</v>
      </c>
      <c r="B1858" t="s">
        <v>15</v>
      </c>
      <c r="C1858" t="s">
        <v>75</v>
      </c>
      <c r="D1858">
        <v>0.2</v>
      </c>
      <c r="E1858">
        <v>0.8</v>
      </c>
      <c r="F1858">
        <v>313.14999999999998</v>
      </c>
      <c r="G1858">
        <v>456</v>
      </c>
      <c r="H1858">
        <f t="shared" si="112"/>
        <v>-3.5719857026424369</v>
      </c>
      <c r="I1858">
        <v>2.81E-2</v>
      </c>
      <c r="J1858" t="str">
        <f t="shared" si="113"/>
        <v>CC[N+](CC)(CC)CC.[Cl-]CCCCCC(=O)O</v>
      </c>
      <c r="K1858">
        <v>57</v>
      </c>
      <c r="M1858">
        <f t="shared" si="114"/>
        <v>5.4037971934950142E-2</v>
      </c>
      <c r="N1858">
        <f t="shared" si="115"/>
        <v>-0.3663247258498053</v>
      </c>
    </row>
    <row r="1859" spans="1:14" x14ac:dyDescent="0.35">
      <c r="A1859">
        <v>1857</v>
      </c>
      <c r="B1859" t="s">
        <v>15</v>
      </c>
      <c r="C1859" t="s">
        <v>75</v>
      </c>
      <c r="D1859">
        <v>0.2</v>
      </c>
      <c r="E1859">
        <v>0.8</v>
      </c>
      <c r="F1859">
        <v>313.14999999999998</v>
      </c>
      <c r="G1859">
        <v>585</v>
      </c>
      <c r="H1859">
        <f t="shared" ref="H1859:H1922" si="116">LN(I1859)</f>
        <v>-3.32</v>
      </c>
      <c r="I1859">
        <v>3.6152831754046426E-2</v>
      </c>
      <c r="J1859" t="str">
        <f t="shared" ref="J1859:J1922" si="117">_xlfn.CONCAT(B1859,C1859)</f>
        <v>CC[N+](CC)(CC)CC.[Cl-]CCCCCC(=O)O</v>
      </c>
      <c r="K1859">
        <v>57</v>
      </c>
      <c r="M1859">
        <f t="shared" ref="M1859:M1922" si="118">(F1859-$L$3)/$L$2</f>
        <v>5.4037971934950142E-2</v>
      </c>
      <c r="N1859">
        <f t="shared" ref="N1859:N1922" si="119">(G1859-$L$6)/$L$5</f>
        <v>-0.29417689754809268</v>
      </c>
    </row>
    <row r="1860" spans="1:14" x14ac:dyDescent="0.35">
      <c r="A1860">
        <v>1858</v>
      </c>
      <c r="B1860" t="s">
        <v>15</v>
      </c>
      <c r="C1860" t="s">
        <v>75</v>
      </c>
      <c r="D1860">
        <v>0.2</v>
      </c>
      <c r="E1860">
        <v>0.8</v>
      </c>
      <c r="F1860">
        <v>313.14999999999998</v>
      </c>
      <c r="G1860">
        <v>714</v>
      </c>
      <c r="H1860">
        <f t="shared" si="116"/>
        <v>-3.0988730324735045</v>
      </c>
      <c r="I1860">
        <v>4.5100000000000001E-2</v>
      </c>
      <c r="J1860" t="str">
        <f t="shared" si="117"/>
        <v>CC[N+](CC)(CC)CC.[Cl-]CCCCCC(=O)O</v>
      </c>
      <c r="K1860">
        <v>57</v>
      </c>
      <c r="M1860">
        <f t="shared" si="118"/>
        <v>5.4037971934950142E-2</v>
      </c>
      <c r="N1860">
        <f t="shared" si="119"/>
        <v>-0.22202906924638005</v>
      </c>
    </row>
    <row r="1861" spans="1:14" x14ac:dyDescent="0.35">
      <c r="A1861">
        <v>1859</v>
      </c>
      <c r="B1861" t="s">
        <v>15</v>
      </c>
      <c r="C1861" t="s">
        <v>75</v>
      </c>
      <c r="D1861">
        <v>0.2</v>
      </c>
      <c r="E1861">
        <v>0.8</v>
      </c>
      <c r="F1861">
        <v>313.14999999999998</v>
      </c>
      <c r="G1861">
        <v>856</v>
      </c>
      <c r="H1861">
        <f t="shared" si="116"/>
        <v>-2.8913722582297483</v>
      </c>
      <c r="I1861">
        <v>5.5500000000000001E-2</v>
      </c>
      <c r="J1861" t="str">
        <f t="shared" si="117"/>
        <v>CC[N+](CC)(CC)CC.[Cl-]CCCCCC(=O)O</v>
      </c>
      <c r="K1861">
        <v>57</v>
      </c>
      <c r="M1861">
        <f t="shared" si="118"/>
        <v>5.4037971934950142E-2</v>
      </c>
      <c r="N1861">
        <f t="shared" si="119"/>
        <v>-0.14261052956542505</v>
      </c>
    </row>
    <row r="1862" spans="1:14" x14ac:dyDescent="0.35">
      <c r="A1862">
        <v>1860</v>
      </c>
      <c r="B1862" t="s">
        <v>15</v>
      </c>
      <c r="C1862" t="s">
        <v>75</v>
      </c>
      <c r="D1862">
        <v>0.2</v>
      </c>
      <c r="E1862">
        <v>0.8</v>
      </c>
      <c r="F1862">
        <v>313.14999999999998</v>
      </c>
      <c r="G1862">
        <v>992</v>
      </c>
      <c r="H1862">
        <f t="shared" si="116"/>
        <v>-2.7426416458718292</v>
      </c>
      <c r="I1862">
        <v>6.4399999999999999E-2</v>
      </c>
      <c r="J1862" t="str">
        <f t="shared" si="117"/>
        <v>CC[N+](CC)(CC)CC.[Cl-]CCCCCC(=O)O</v>
      </c>
      <c r="K1862">
        <v>57</v>
      </c>
      <c r="M1862">
        <f t="shared" si="118"/>
        <v>5.4037971934950142E-2</v>
      </c>
      <c r="N1862">
        <f t="shared" si="119"/>
        <v>-6.6547702828735789E-2</v>
      </c>
    </row>
    <row r="1863" spans="1:14" x14ac:dyDescent="0.35">
      <c r="A1863">
        <v>1861</v>
      </c>
      <c r="B1863" t="s">
        <v>15</v>
      </c>
      <c r="C1863" t="s">
        <v>75</v>
      </c>
      <c r="D1863">
        <v>0.2</v>
      </c>
      <c r="E1863">
        <v>0.8</v>
      </c>
      <c r="F1863">
        <v>313.14999999999998</v>
      </c>
      <c r="G1863">
        <v>1161</v>
      </c>
      <c r="H1863">
        <f t="shared" si="116"/>
        <v>-2.5523293261054345</v>
      </c>
      <c r="I1863">
        <v>7.7899999999999997E-2</v>
      </c>
      <c r="J1863" t="str">
        <f t="shared" si="117"/>
        <v>CC[N+](CC)(CC)CC.[Cl-]CCCCCC(=O)O</v>
      </c>
      <c r="K1863">
        <v>57</v>
      </c>
      <c r="M1863">
        <f t="shared" si="118"/>
        <v>5.4037971934950142E-2</v>
      </c>
      <c r="N1863">
        <f t="shared" si="119"/>
        <v>2.7971545101414842E-2</v>
      </c>
    </row>
    <row r="1864" spans="1:14" x14ac:dyDescent="0.35">
      <c r="A1864">
        <v>1862</v>
      </c>
      <c r="B1864" t="s">
        <v>15</v>
      </c>
      <c r="C1864" t="s">
        <v>75</v>
      </c>
      <c r="D1864">
        <v>0.2</v>
      </c>
      <c r="E1864">
        <v>0.8</v>
      </c>
      <c r="F1864">
        <v>323.14999999999998</v>
      </c>
      <c r="G1864">
        <v>458</v>
      </c>
      <c r="H1864">
        <f t="shared" si="116"/>
        <v>-3.69</v>
      </c>
      <c r="I1864">
        <v>2.4972002042276155E-2</v>
      </c>
      <c r="J1864" t="str">
        <f t="shared" si="117"/>
        <v>CC[N+](CC)(CC)CC.[Cl-]CCCCCC(=O)O</v>
      </c>
      <c r="K1864">
        <v>57</v>
      </c>
      <c r="M1864">
        <f t="shared" si="118"/>
        <v>0.83775464848239545</v>
      </c>
      <c r="N1864">
        <f t="shared" si="119"/>
        <v>-0.36520615486838337</v>
      </c>
    </row>
    <row r="1865" spans="1:14" x14ac:dyDescent="0.35">
      <c r="A1865">
        <v>1863</v>
      </c>
      <c r="B1865" t="s">
        <v>15</v>
      </c>
      <c r="C1865" t="s">
        <v>75</v>
      </c>
      <c r="D1865">
        <v>0.2</v>
      </c>
      <c r="E1865">
        <v>0.8</v>
      </c>
      <c r="F1865">
        <v>323.14999999999998</v>
      </c>
      <c r="G1865">
        <v>553</v>
      </c>
      <c r="H1865">
        <f t="shared" si="116"/>
        <v>-3.4933126705699609</v>
      </c>
      <c r="I1865">
        <v>3.04E-2</v>
      </c>
      <c r="J1865" t="str">
        <f t="shared" si="117"/>
        <v>CC[N+](CC)(CC)CC.[Cl-]CCCCCC(=O)O</v>
      </c>
      <c r="K1865">
        <v>57</v>
      </c>
      <c r="M1865">
        <f t="shared" si="118"/>
        <v>0.83775464848239545</v>
      </c>
      <c r="N1865">
        <f t="shared" si="119"/>
        <v>-0.3120740332508431</v>
      </c>
    </row>
    <row r="1866" spans="1:14" x14ac:dyDescent="0.35">
      <c r="A1866">
        <v>1864</v>
      </c>
      <c r="B1866" t="s">
        <v>15</v>
      </c>
      <c r="C1866" t="s">
        <v>75</v>
      </c>
      <c r="D1866">
        <v>0.2</v>
      </c>
      <c r="E1866">
        <v>0.8</v>
      </c>
      <c r="F1866">
        <v>323.14999999999998</v>
      </c>
      <c r="G1866">
        <v>626</v>
      </c>
      <c r="H1866">
        <f t="shared" si="116"/>
        <v>-3.3755296349135775</v>
      </c>
      <c r="I1866">
        <v>3.4200000000000001E-2</v>
      </c>
      <c r="J1866" t="str">
        <f t="shared" si="117"/>
        <v>CC[N+](CC)(CC)CC.[Cl-]CCCCCC(=O)O</v>
      </c>
      <c r="K1866">
        <v>57</v>
      </c>
      <c r="M1866">
        <f t="shared" si="118"/>
        <v>0.83775464848239545</v>
      </c>
      <c r="N1866">
        <f t="shared" si="119"/>
        <v>-0.27124619242894371</v>
      </c>
    </row>
    <row r="1867" spans="1:14" x14ac:dyDescent="0.35">
      <c r="A1867">
        <v>1865</v>
      </c>
      <c r="B1867" t="s">
        <v>15</v>
      </c>
      <c r="C1867" t="s">
        <v>75</v>
      </c>
      <c r="D1867">
        <v>0.2</v>
      </c>
      <c r="E1867">
        <v>0.8</v>
      </c>
      <c r="F1867">
        <v>323.14999999999998</v>
      </c>
      <c r="G1867">
        <v>718</v>
      </c>
      <c r="H1867">
        <f t="shared" si="116"/>
        <v>-3.2314546070750607</v>
      </c>
      <c r="I1867">
        <v>3.95E-2</v>
      </c>
      <c r="J1867" t="str">
        <f t="shared" si="117"/>
        <v>CC[N+](CC)(CC)CC.[Cl-]CCCCCC(=O)O</v>
      </c>
      <c r="K1867">
        <v>57</v>
      </c>
      <c r="M1867">
        <f t="shared" si="118"/>
        <v>0.83775464848239545</v>
      </c>
      <c r="N1867">
        <f t="shared" si="119"/>
        <v>-0.21979192728353625</v>
      </c>
    </row>
    <row r="1868" spans="1:14" x14ac:dyDescent="0.35">
      <c r="A1868">
        <v>1866</v>
      </c>
      <c r="B1868" t="s">
        <v>15</v>
      </c>
      <c r="C1868" t="s">
        <v>75</v>
      </c>
      <c r="D1868">
        <v>0.2</v>
      </c>
      <c r="E1868">
        <v>0.8</v>
      </c>
      <c r="F1868">
        <v>323.14999999999998</v>
      </c>
      <c r="G1868">
        <v>804</v>
      </c>
      <c r="H1868">
        <f t="shared" si="116"/>
        <v>-3.1055471395611978</v>
      </c>
      <c r="I1868">
        <v>4.48E-2</v>
      </c>
      <c r="J1868" t="str">
        <f t="shared" si="117"/>
        <v>CC[N+](CC)(CC)CC.[Cl-]CCCCCC(=O)O</v>
      </c>
      <c r="K1868">
        <v>57</v>
      </c>
      <c r="M1868">
        <f t="shared" si="118"/>
        <v>0.83775464848239545</v>
      </c>
      <c r="N1868">
        <f t="shared" si="119"/>
        <v>-0.17169337508239449</v>
      </c>
    </row>
    <row r="1869" spans="1:14" x14ac:dyDescent="0.35">
      <c r="A1869">
        <v>1867</v>
      </c>
      <c r="B1869" t="s">
        <v>15</v>
      </c>
      <c r="C1869" t="s">
        <v>75</v>
      </c>
      <c r="D1869">
        <v>0.2</v>
      </c>
      <c r="E1869">
        <v>0.8</v>
      </c>
      <c r="F1869">
        <v>323.14999999999998</v>
      </c>
      <c r="G1869">
        <v>947</v>
      </c>
      <c r="H1869">
        <f t="shared" si="116"/>
        <v>-2.9431398234348203</v>
      </c>
      <c r="I1869">
        <v>5.2699999999999997E-2</v>
      </c>
      <c r="J1869" t="str">
        <f t="shared" si="117"/>
        <v>CC[N+](CC)(CC)CC.[Cl-]CCCCCC(=O)O</v>
      </c>
      <c r="K1869">
        <v>57</v>
      </c>
      <c r="M1869">
        <f t="shared" si="118"/>
        <v>0.83775464848239545</v>
      </c>
      <c r="N1869">
        <f t="shared" si="119"/>
        <v>-9.1715549910728569E-2</v>
      </c>
    </row>
    <row r="1870" spans="1:14" x14ac:dyDescent="0.35">
      <c r="A1870">
        <v>1868</v>
      </c>
      <c r="B1870" t="s">
        <v>15</v>
      </c>
      <c r="C1870" t="s">
        <v>75</v>
      </c>
      <c r="D1870">
        <v>0.2</v>
      </c>
      <c r="E1870">
        <v>0.8</v>
      </c>
      <c r="F1870">
        <v>323.14999999999998</v>
      </c>
      <c r="G1870">
        <v>1114</v>
      </c>
      <c r="H1870">
        <f t="shared" si="116"/>
        <v>-2.8285243545700847</v>
      </c>
      <c r="I1870">
        <v>5.91E-2</v>
      </c>
      <c r="J1870" t="str">
        <f t="shared" si="117"/>
        <v>CC[N+](CC)(CC)CC.[Cl-]CCCCCC(=O)O</v>
      </c>
      <c r="K1870">
        <v>57</v>
      </c>
      <c r="M1870">
        <f t="shared" si="118"/>
        <v>0.83775464848239545</v>
      </c>
      <c r="N1870">
        <f t="shared" si="119"/>
        <v>1.6851270380001692E-3</v>
      </c>
    </row>
    <row r="1871" spans="1:14" x14ac:dyDescent="0.35">
      <c r="A1871">
        <v>1869</v>
      </c>
      <c r="B1871" t="s">
        <v>25</v>
      </c>
      <c r="C1871" t="s">
        <v>35</v>
      </c>
      <c r="D1871">
        <v>0.16666666666666666</v>
      </c>
      <c r="E1871">
        <v>0.83333333333333337</v>
      </c>
      <c r="F1871">
        <v>308.14999999999998</v>
      </c>
      <c r="G1871">
        <v>190.8</v>
      </c>
      <c r="H1871">
        <f t="shared" si="116"/>
        <v>-5.26</v>
      </c>
      <c r="I1871">
        <v>5.1953047187052312E-3</v>
      </c>
      <c r="J1871" t="str">
        <f t="shared" si="117"/>
        <v>C[N+](C)(C)CC(=O)[O-]CC(CO)O</v>
      </c>
      <c r="K1871">
        <v>72</v>
      </c>
      <c r="M1871">
        <f t="shared" si="118"/>
        <v>-0.33782036633877249</v>
      </c>
      <c r="N1871">
        <f t="shared" si="119"/>
        <v>-0.51464723798634937</v>
      </c>
    </row>
    <row r="1872" spans="1:14" x14ac:dyDescent="0.35">
      <c r="A1872">
        <v>1870</v>
      </c>
      <c r="B1872" t="s">
        <v>25</v>
      </c>
      <c r="C1872" t="s">
        <v>35</v>
      </c>
      <c r="D1872">
        <v>0.16666666666666666</v>
      </c>
      <c r="E1872">
        <v>0.83333333333333337</v>
      </c>
      <c r="F1872">
        <v>308.14999999999998</v>
      </c>
      <c r="G1872">
        <v>302.3</v>
      </c>
      <c r="H1872">
        <f t="shared" si="116"/>
        <v>-4.82</v>
      </c>
      <c r="I1872">
        <v>8.0667871390996144E-3</v>
      </c>
      <c r="J1872" t="str">
        <f t="shared" si="117"/>
        <v>C[N+](C)(C)CC(=O)[O-]CC(CO)O</v>
      </c>
      <c r="K1872">
        <v>72</v>
      </c>
      <c r="M1872">
        <f t="shared" si="118"/>
        <v>-0.33782036633877249</v>
      </c>
      <c r="N1872">
        <f t="shared" si="119"/>
        <v>-0.45228690577207842</v>
      </c>
    </row>
    <row r="1873" spans="1:14" x14ac:dyDescent="0.35">
      <c r="A1873">
        <v>1871</v>
      </c>
      <c r="B1873" t="s">
        <v>25</v>
      </c>
      <c r="C1873" t="s">
        <v>35</v>
      </c>
      <c r="D1873">
        <v>0.16666666666666666</v>
      </c>
      <c r="E1873">
        <v>0.83333333333333337</v>
      </c>
      <c r="F1873">
        <v>308.14999999999998</v>
      </c>
      <c r="G1873">
        <v>404.3</v>
      </c>
      <c r="H1873">
        <f t="shared" si="116"/>
        <v>-4.49</v>
      </c>
      <c r="I1873">
        <v>1.1220643809589084E-2</v>
      </c>
      <c r="J1873" t="str">
        <f t="shared" si="117"/>
        <v>C[N+](C)(C)CC(=O)[O-]CC(CO)O</v>
      </c>
      <c r="K1873">
        <v>72</v>
      </c>
      <c r="M1873">
        <f t="shared" si="118"/>
        <v>-0.33782036633877249</v>
      </c>
      <c r="N1873">
        <f t="shared" si="119"/>
        <v>-0.39523978571956142</v>
      </c>
    </row>
    <row r="1874" spans="1:14" x14ac:dyDescent="0.35">
      <c r="A1874">
        <v>1872</v>
      </c>
      <c r="B1874" t="s">
        <v>25</v>
      </c>
      <c r="C1874" t="s">
        <v>35</v>
      </c>
      <c r="D1874">
        <v>0.16666666666666666</v>
      </c>
      <c r="E1874">
        <v>0.83333333333333337</v>
      </c>
      <c r="F1874">
        <v>308.14999999999998</v>
      </c>
      <c r="G1874">
        <v>506.5</v>
      </c>
      <c r="H1874">
        <f t="shared" si="116"/>
        <v>-4.2699999999999996</v>
      </c>
      <c r="I1874">
        <v>1.3981783153338308E-2</v>
      </c>
      <c r="J1874" t="str">
        <f t="shared" si="117"/>
        <v>C[N+](C)(C)CC(=O)[O-]CC(CO)O</v>
      </c>
      <c r="K1874">
        <v>72</v>
      </c>
      <c r="M1874">
        <f t="shared" si="118"/>
        <v>-0.33782036633877249</v>
      </c>
      <c r="N1874">
        <f t="shared" si="119"/>
        <v>-0.33808080856890227</v>
      </c>
    </row>
    <row r="1875" spans="1:14" x14ac:dyDescent="0.35">
      <c r="A1875">
        <v>1873</v>
      </c>
      <c r="B1875" t="s">
        <v>25</v>
      </c>
      <c r="C1875" t="s">
        <v>35</v>
      </c>
      <c r="D1875">
        <v>0.16666666666666666</v>
      </c>
      <c r="E1875">
        <v>0.83333333333333337</v>
      </c>
      <c r="F1875">
        <v>308.14999999999998</v>
      </c>
      <c r="G1875">
        <v>606.5</v>
      </c>
      <c r="H1875">
        <f t="shared" si="116"/>
        <v>-4.0599999999999996</v>
      </c>
      <c r="I1875">
        <v>1.7249019115346279E-2</v>
      </c>
      <c r="J1875" t="str">
        <f t="shared" si="117"/>
        <v>C[N+](C)(C)CC(=O)[O-]CC(CO)O</v>
      </c>
      <c r="K1875">
        <v>72</v>
      </c>
      <c r="M1875">
        <f t="shared" si="118"/>
        <v>-0.33782036633877249</v>
      </c>
      <c r="N1875">
        <f t="shared" si="119"/>
        <v>-0.2821522594978072</v>
      </c>
    </row>
    <row r="1876" spans="1:14" x14ac:dyDescent="0.35">
      <c r="A1876">
        <v>1874</v>
      </c>
      <c r="B1876" t="s">
        <v>25</v>
      </c>
      <c r="C1876" t="s">
        <v>35</v>
      </c>
      <c r="D1876">
        <v>0.16666666666666666</v>
      </c>
      <c r="E1876">
        <v>0.83333333333333337</v>
      </c>
      <c r="F1876">
        <v>318.14999999999998</v>
      </c>
      <c r="G1876">
        <v>208</v>
      </c>
      <c r="H1876">
        <f t="shared" si="116"/>
        <v>-5.4</v>
      </c>
      <c r="I1876">
        <v>4.5165809426126659E-3</v>
      </c>
      <c r="J1876" t="str">
        <f t="shared" si="117"/>
        <v>C[N+](C)(C)CC(=O)[O-]CC(CO)O</v>
      </c>
      <c r="K1876">
        <v>72</v>
      </c>
      <c r="M1876">
        <f t="shared" si="118"/>
        <v>0.44589631020867276</v>
      </c>
      <c r="N1876">
        <f t="shared" si="119"/>
        <v>-0.50502752754612101</v>
      </c>
    </row>
    <row r="1877" spans="1:14" x14ac:dyDescent="0.35">
      <c r="A1877">
        <v>1875</v>
      </c>
      <c r="B1877" t="s">
        <v>25</v>
      </c>
      <c r="C1877" t="s">
        <v>35</v>
      </c>
      <c r="D1877">
        <v>0.16666666666666666</v>
      </c>
      <c r="E1877">
        <v>0.83333333333333337</v>
      </c>
      <c r="F1877">
        <v>318.14999999999998</v>
      </c>
      <c r="G1877">
        <v>317.5</v>
      </c>
      <c r="H1877">
        <f t="shared" si="116"/>
        <v>-4.9800000000000004</v>
      </c>
      <c r="I1877">
        <v>6.8740625574962482E-3</v>
      </c>
      <c r="J1877" t="str">
        <f t="shared" si="117"/>
        <v>C[N+](C)(C)CC(=O)[O-]CC(CO)O</v>
      </c>
      <c r="K1877">
        <v>72</v>
      </c>
      <c r="M1877">
        <f t="shared" si="118"/>
        <v>0.44589631020867276</v>
      </c>
      <c r="N1877">
        <f t="shared" si="119"/>
        <v>-0.44378576631327193</v>
      </c>
    </row>
    <row r="1878" spans="1:14" x14ac:dyDescent="0.35">
      <c r="A1878">
        <v>1876</v>
      </c>
      <c r="B1878" t="s">
        <v>25</v>
      </c>
      <c r="C1878" t="s">
        <v>35</v>
      </c>
      <c r="D1878">
        <v>0.16666666666666666</v>
      </c>
      <c r="E1878">
        <v>0.83333333333333337</v>
      </c>
      <c r="F1878">
        <v>318.14999999999998</v>
      </c>
      <c r="G1878">
        <v>424.8</v>
      </c>
      <c r="H1878">
        <f t="shared" si="116"/>
        <v>-4.6100000000000003</v>
      </c>
      <c r="I1878">
        <v>9.9518183078484198E-3</v>
      </c>
      <c r="J1878" t="str">
        <f t="shared" si="117"/>
        <v>C[N+](C)(C)CC(=O)[O-]CC(CO)O</v>
      </c>
      <c r="K1878">
        <v>72</v>
      </c>
      <c r="M1878">
        <f t="shared" si="118"/>
        <v>0.44589631020867276</v>
      </c>
      <c r="N1878">
        <f t="shared" si="119"/>
        <v>-0.38377443315998694</v>
      </c>
    </row>
    <row r="1879" spans="1:14" x14ac:dyDescent="0.35">
      <c r="A1879">
        <v>1877</v>
      </c>
      <c r="B1879" t="s">
        <v>25</v>
      </c>
      <c r="C1879" t="s">
        <v>35</v>
      </c>
      <c r="D1879">
        <v>0.16666666666666666</v>
      </c>
      <c r="E1879">
        <v>0.83333333333333337</v>
      </c>
      <c r="F1879">
        <v>318.14999999999998</v>
      </c>
      <c r="G1879">
        <v>531.79999999999995</v>
      </c>
      <c r="H1879">
        <f t="shared" si="116"/>
        <v>-4.37</v>
      </c>
      <c r="I1879">
        <v>1.2651240568005305E-2</v>
      </c>
      <c r="J1879" t="str">
        <f t="shared" si="117"/>
        <v>C[N+](C)(C)CC(=O)[O-]CC(CO)O</v>
      </c>
      <c r="K1879">
        <v>72</v>
      </c>
      <c r="M1879">
        <f t="shared" si="118"/>
        <v>0.44589631020867276</v>
      </c>
      <c r="N1879">
        <f t="shared" si="119"/>
        <v>-0.32393088565391526</v>
      </c>
    </row>
    <row r="1880" spans="1:14" x14ac:dyDescent="0.35">
      <c r="A1880">
        <v>1878</v>
      </c>
      <c r="B1880" t="s">
        <v>25</v>
      </c>
      <c r="C1880" t="s">
        <v>35</v>
      </c>
      <c r="D1880">
        <v>0.16666666666666666</v>
      </c>
      <c r="E1880">
        <v>0.83333333333333337</v>
      </c>
      <c r="F1880">
        <v>318.14999999999998</v>
      </c>
      <c r="G1880">
        <v>637</v>
      </c>
      <c r="H1880">
        <f t="shared" si="116"/>
        <v>-4.17</v>
      </c>
      <c r="I1880">
        <v>1.5452260123909515E-2</v>
      </c>
      <c r="J1880" t="str">
        <f t="shared" si="117"/>
        <v>C[N+](C)(C)CC(=O)[O-]CC(CO)O</v>
      </c>
      <c r="K1880">
        <v>72</v>
      </c>
      <c r="M1880">
        <f t="shared" si="118"/>
        <v>0.44589631020867276</v>
      </c>
      <c r="N1880">
        <f t="shared" si="119"/>
        <v>-0.26509405203112324</v>
      </c>
    </row>
    <row r="1881" spans="1:14" x14ac:dyDescent="0.35">
      <c r="A1881">
        <v>1879</v>
      </c>
      <c r="B1881" t="s">
        <v>25</v>
      </c>
      <c r="C1881" t="s">
        <v>35</v>
      </c>
      <c r="D1881">
        <v>0.16666666666666666</v>
      </c>
      <c r="E1881">
        <v>0.83333333333333337</v>
      </c>
      <c r="F1881">
        <v>328.15</v>
      </c>
      <c r="G1881">
        <v>211.3</v>
      </c>
      <c r="H1881">
        <f t="shared" si="116"/>
        <v>-5.55</v>
      </c>
      <c r="I1881">
        <v>3.8874572434761303E-3</v>
      </c>
      <c r="J1881" t="str">
        <f t="shared" si="117"/>
        <v>C[N+](C)(C)CC(=O)[O-]CC(CO)O</v>
      </c>
      <c r="K1881">
        <v>72</v>
      </c>
      <c r="M1881">
        <f t="shared" si="118"/>
        <v>1.2296129867561181</v>
      </c>
      <c r="N1881">
        <f t="shared" si="119"/>
        <v>-0.50318188542677489</v>
      </c>
    </row>
    <row r="1882" spans="1:14" x14ac:dyDescent="0.35">
      <c r="A1882">
        <v>1880</v>
      </c>
      <c r="B1882" t="s">
        <v>25</v>
      </c>
      <c r="C1882" t="s">
        <v>35</v>
      </c>
      <c r="D1882">
        <v>0.16666666666666666</v>
      </c>
      <c r="E1882">
        <v>0.83333333333333337</v>
      </c>
      <c r="F1882">
        <v>328.15</v>
      </c>
      <c r="G1882">
        <v>332.3</v>
      </c>
      <c r="H1882">
        <f t="shared" si="116"/>
        <v>-5.08</v>
      </c>
      <c r="I1882">
        <v>6.2199090159425728E-3</v>
      </c>
      <c r="J1882" t="str">
        <f t="shared" si="117"/>
        <v>C[N+](C)(C)CC(=O)[O-]CC(CO)O</v>
      </c>
      <c r="K1882">
        <v>72</v>
      </c>
      <c r="M1882">
        <f t="shared" si="118"/>
        <v>1.2296129867561181</v>
      </c>
      <c r="N1882">
        <f t="shared" si="119"/>
        <v>-0.43550834105074987</v>
      </c>
    </row>
    <row r="1883" spans="1:14" x14ac:dyDescent="0.35">
      <c r="A1883">
        <v>1881</v>
      </c>
      <c r="B1883" t="s">
        <v>25</v>
      </c>
      <c r="C1883" t="s">
        <v>35</v>
      </c>
      <c r="D1883">
        <v>0.16666666666666666</v>
      </c>
      <c r="E1883">
        <v>0.83333333333333337</v>
      </c>
      <c r="F1883">
        <v>328.15</v>
      </c>
      <c r="G1883">
        <v>444.3</v>
      </c>
      <c r="H1883">
        <f t="shared" si="116"/>
        <v>-4.71</v>
      </c>
      <c r="I1883">
        <v>9.0047775824365593E-3</v>
      </c>
      <c r="J1883" t="str">
        <f t="shared" si="117"/>
        <v>C[N+](C)(C)CC(=O)[O-]CC(CO)O</v>
      </c>
      <c r="K1883">
        <v>72</v>
      </c>
      <c r="M1883">
        <f t="shared" si="118"/>
        <v>1.2296129867561181</v>
      </c>
      <c r="N1883">
        <f t="shared" si="119"/>
        <v>-0.37286836609112345</v>
      </c>
    </row>
    <row r="1884" spans="1:14" x14ac:dyDescent="0.35">
      <c r="A1884">
        <v>1882</v>
      </c>
      <c r="B1884" t="s">
        <v>25</v>
      </c>
      <c r="C1884" t="s">
        <v>35</v>
      </c>
      <c r="D1884">
        <v>0.16666666666666666</v>
      </c>
      <c r="E1884">
        <v>0.83333333333333337</v>
      </c>
      <c r="F1884">
        <v>328.15</v>
      </c>
      <c r="G1884">
        <v>556.29999999999995</v>
      </c>
      <c r="H1884">
        <f t="shared" si="116"/>
        <v>-4.47</v>
      </c>
      <c r="I1884">
        <v>1.1447315850505711E-2</v>
      </c>
      <c r="J1884" t="str">
        <f t="shared" si="117"/>
        <v>C[N+](C)(C)CC(=O)[O-]CC(CO)O</v>
      </c>
      <c r="K1884">
        <v>72</v>
      </c>
      <c r="M1884">
        <f t="shared" si="118"/>
        <v>1.2296129867561181</v>
      </c>
      <c r="N1884">
        <f t="shared" si="119"/>
        <v>-0.31022839113149697</v>
      </c>
    </row>
    <row r="1885" spans="1:14" x14ac:dyDescent="0.35">
      <c r="A1885">
        <v>1883</v>
      </c>
      <c r="B1885" t="s">
        <v>25</v>
      </c>
      <c r="C1885" t="s">
        <v>35</v>
      </c>
      <c r="D1885">
        <v>0.16666666666666666</v>
      </c>
      <c r="E1885">
        <v>0.83333333333333337</v>
      </c>
      <c r="F1885">
        <v>328.15</v>
      </c>
      <c r="G1885">
        <v>666.5</v>
      </c>
      <c r="H1885">
        <f t="shared" si="116"/>
        <v>-4.25</v>
      </c>
      <c r="I1885">
        <v>1.4264233908999256E-2</v>
      </c>
      <c r="J1885" t="str">
        <f t="shared" si="117"/>
        <v>C[N+](C)(C)CC(=O)[O-]CC(CO)O</v>
      </c>
      <c r="K1885">
        <v>72</v>
      </c>
      <c r="M1885">
        <f t="shared" si="118"/>
        <v>1.2296129867561181</v>
      </c>
      <c r="N1885">
        <f t="shared" si="119"/>
        <v>-0.24859513005515019</v>
      </c>
    </row>
    <row r="1886" spans="1:14" x14ac:dyDescent="0.35">
      <c r="A1886">
        <v>1884</v>
      </c>
      <c r="B1886" t="s">
        <v>25</v>
      </c>
      <c r="C1886" t="s">
        <v>35</v>
      </c>
      <c r="D1886">
        <v>0.16666666666666666</v>
      </c>
      <c r="E1886">
        <v>0.83333333333333337</v>
      </c>
      <c r="F1886">
        <v>338.15</v>
      </c>
      <c r="G1886">
        <v>213.5</v>
      </c>
      <c r="H1886">
        <f t="shared" si="116"/>
        <v>-5.68</v>
      </c>
      <c r="I1886">
        <v>3.4135584433954303E-3</v>
      </c>
      <c r="J1886" t="str">
        <f t="shared" si="117"/>
        <v>C[N+](C)(C)CC(=O)[O-]CC(CO)O</v>
      </c>
      <c r="K1886">
        <v>72</v>
      </c>
      <c r="M1886">
        <f t="shared" si="118"/>
        <v>2.0133296633035633</v>
      </c>
      <c r="N1886">
        <f t="shared" si="119"/>
        <v>-0.50195145734721081</v>
      </c>
    </row>
    <row r="1887" spans="1:14" x14ac:dyDescent="0.35">
      <c r="A1887">
        <v>1885</v>
      </c>
      <c r="B1887" t="s">
        <v>25</v>
      </c>
      <c r="C1887" t="s">
        <v>35</v>
      </c>
      <c r="D1887">
        <v>0.16666666666666666</v>
      </c>
      <c r="E1887">
        <v>0.83333333333333337</v>
      </c>
      <c r="F1887">
        <v>338.15</v>
      </c>
      <c r="G1887">
        <v>338.8</v>
      </c>
      <c r="H1887">
        <f t="shared" si="116"/>
        <v>-5.19</v>
      </c>
      <c r="I1887">
        <v>5.5720068149199926E-3</v>
      </c>
      <c r="J1887" t="str">
        <f t="shared" si="117"/>
        <v>C[N+](C)(C)CC(=O)[O-]CC(CO)O</v>
      </c>
      <c r="K1887">
        <v>72</v>
      </c>
      <c r="M1887">
        <f t="shared" si="118"/>
        <v>2.0133296633035633</v>
      </c>
      <c r="N1887">
        <f t="shared" si="119"/>
        <v>-0.43187298536112873</v>
      </c>
    </row>
    <row r="1888" spans="1:14" x14ac:dyDescent="0.35">
      <c r="A1888">
        <v>1886</v>
      </c>
      <c r="B1888" t="s">
        <v>25</v>
      </c>
      <c r="C1888" t="s">
        <v>35</v>
      </c>
      <c r="D1888">
        <v>0.16666666666666666</v>
      </c>
      <c r="E1888">
        <v>0.83333333333333337</v>
      </c>
      <c r="F1888">
        <v>338.15</v>
      </c>
      <c r="G1888">
        <v>463.5</v>
      </c>
      <c r="H1888">
        <f t="shared" si="116"/>
        <v>-4.8</v>
      </c>
      <c r="I1888">
        <v>8.2297470490200302E-3</v>
      </c>
      <c r="J1888" t="str">
        <f t="shared" si="117"/>
        <v>C[N+](C)(C)CC(=O)[O-]CC(CO)O</v>
      </c>
      <c r="K1888">
        <v>72</v>
      </c>
      <c r="M1888">
        <f t="shared" si="118"/>
        <v>2.0133296633035633</v>
      </c>
      <c r="N1888">
        <f t="shared" si="119"/>
        <v>-0.36213008466947316</v>
      </c>
    </row>
    <row r="1889" spans="1:14" x14ac:dyDescent="0.35">
      <c r="A1889">
        <v>1887</v>
      </c>
      <c r="B1889" t="s">
        <v>25</v>
      </c>
      <c r="C1889" t="s">
        <v>35</v>
      </c>
      <c r="D1889">
        <v>0.16666666666666666</v>
      </c>
      <c r="E1889">
        <v>0.83333333333333337</v>
      </c>
      <c r="F1889">
        <v>338.15</v>
      </c>
      <c r="G1889">
        <v>573.29999999999995</v>
      </c>
      <c r="H1889">
        <f t="shared" si="116"/>
        <v>-4.5599999999999996</v>
      </c>
      <c r="I1889">
        <v>1.0462058943426803E-2</v>
      </c>
      <c r="J1889" t="str">
        <f t="shared" si="117"/>
        <v>C[N+](C)(C)CC(=O)[O-]CC(CO)O</v>
      </c>
      <c r="K1889">
        <v>72</v>
      </c>
      <c r="M1889">
        <f t="shared" si="118"/>
        <v>2.0133296633035633</v>
      </c>
      <c r="N1889">
        <f t="shared" si="119"/>
        <v>-0.30072053778941082</v>
      </c>
    </row>
    <row r="1890" spans="1:14" x14ac:dyDescent="0.35">
      <c r="A1890">
        <v>1888</v>
      </c>
      <c r="B1890" t="s">
        <v>25</v>
      </c>
      <c r="C1890" t="s">
        <v>35</v>
      </c>
      <c r="D1890">
        <v>0.16666666666666666</v>
      </c>
      <c r="E1890">
        <v>0.83333333333333337</v>
      </c>
      <c r="F1890">
        <v>338.15</v>
      </c>
      <c r="G1890">
        <v>687.3</v>
      </c>
      <c r="H1890">
        <f t="shared" si="116"/>
        <v>-4.34</v>
      </c>
      <c r="I1890">
        <v>1.3036528203437736E-2</v>
      </c>
      <c r="J1890" t="str">
        <f t="shared" si="117"/>
        <v>C[N+](C)(C)CC(=O)[O-]CC(CO)O</v>
      </c>
      <c r="K1890">
        <v>72</v>
      </c>
      <c r="M1890">
        <f t="shared" si="118"/>
        <v>2.0133296633035633</v>
      </c>
      <c r="N1890">
        <f t="shared" si="119"/>
        <v>-0.23696199184836245</v>
      </c>
    </row>
    <row r="1891" spans="1:14" x14ac:dyDescent="0.35">
      <c r="A1891">
        <v>1889</v>
      </c>
      <c r="B1891" t="s">
        <v>25</v>
      </c>
      <c r="C1891" t="s">
        <v>35</v>
      </c>
      <c r="D1891">
        <v>0.16666666666666666</v>
      </c>
      <c r="E1891">
        <v>0.83333333333333337</v>
      </c>
      <c r="F1891">
        <v>348.15</v>
      </c>
      <c r="G1891">
        <v>215</v>
      </c>
      <c r="H1891">
        <f t="shared" si="116"/>
        <v>-5.84</v>
      </c>
      <c r="I1891">
        <v>2.9088426258125841E-3</v>
      </c>
      <c r="J1891" t="str">
        <f t="shared" si="117"/>
        <v>C[N+](C)(C)CC(=O)[O-]CC(CO)O</v>
      </c>
      <c r="K1891">
        <v>72</v>
      </c>
      <c r="M1891">
        <f t="shared" si="118"/>
        <v>2.7970463398510086</v>
      </c>
      <c r="N1891">
        <f t="shared" si="119"/>
        <v>-0.50111252911114434</v>
      </c>
    </row>
    <row r="1892" spans="1:14" x14ac:dyDescent="0.35">
      <c r="A1892">
        <v>1890</v>
      </c>
      <c r="B1892" t="s">
        <v>25</v>
      </c>
      <c r="C1892" t="s">
        <v>35</v>
      </c>
      <c r="D1892">
        <v>0.16666666666666666</v>
      </c>
      <c r="E1892">
        <v>0.83333333333333337</v>
      </c>
      <c r="F1892">
        <v>348.15</v>
      </c>
      <c r="G1892">
        <v>344.5</v>
      </c>
      <c r="H1892">
        <f t="shared" si="116"/>
        <v>-5.28</v>
      </c>
      <c r="I1892">
        <v>5.0924307926991904E-3</v>
      </c>
      <c r="J1892" t="str">
        <f t="shared" si="117"/>
        <v>C[N+](C)(C)CC(=O)[O-]CC(CO)O</v>
      </c>
      <c r="K1892">
        <v>72</v>
      </c>
      <c r="M1892">
        <f t="shared" si="118"/>
        <v>2.7970463398510086</v>
      </c>
      <c r="N1892">
        <f t="shared" si="119"/>
        <v>-0.42868505806407625</v>
      </c>
    </row>
    <row r="1893" spans="1:14" x14ac:dyDescent="0.35">
      <c r="A1893">
        <v>1891</v>
      </c>
      <c r="B1893" t="s">
        <v>25</v>
      </c>
      <c r="C1893" t="s">
        <v>35</v>
      </c>
      <c r="D1893">
        <v>0.16666666666666666</v>
      </c>
      <c r="E1893">
        <v>0.83333333333333337</v>
      </c>
      <c r="F1893">
        <v>348.15</v>
      </c>
      <c r="G1893">
        <v>482</v>
      </c>
      <c r="H1893">
        <f t="shared" si="116"/>
        <v>-4.88</v>
      </c>
      <c r="I1893">
        <v>7.597014027577567E-3</v>
      </c>
      <c r="J1893" t="str">
        <f t="shared" si="117"/>
        <v>C[N+](C)(C)CC(=O)[O-]CC(CO)O</v>
      </c>
      <c r="K1893">
        <v>72</v>
      </c>
      <c r="M1893">
        <f t="shared" si="118"/>
        <v>2.7970463398510086</v>
      </c>
      <c r="N1893">
        <f t="shared" si="119"/>
        <v>-0.35178330309132055</v>
      </c>
    </row>
    <row r="1894" spans="1:14" x14ac:dyDescent="0.35">
      <c r="A1894">
        <v>1892</v>
      </c>
      <c r="B1894" t="s">
        <v>25</v>
      </c>
      <c r="C1894" t="s">
        <v>35</v>
      </c>
      <c r="D1894">
        <v>0.16666666666666666</v>
      </c>
      <c r="E1894">
        <v>0.83333333333333337</v>
      </c>
      <c r="F1894">
        <v>348.15</v>
      </c>
      <c r="G1894">
        <v>593.5</v>
      </c>
      <c r="H1894">
        <f t="shared" si="116"/>
        <v>-4.6399999999999997</v>
      </c>
      <c r="I1894">
        <v>9.6576976275377768E-3</v>
      </c>
      <c r="J1894" t="str">
        <f t="shared" si="117"/>
        <v>C[N+](C)(C)CC(=O)[O-]CC(CO)O</v>
      </c>
      <c r="K1894">
        <v>72</v>
      </c>
      <c r="M1894">
        <f t="shared" si="118"/>
        <v>2.7970463398510086</v>
      </c>
      <c r="N1894">
        <f t="shared" si="119"/>
        <v>-0.2894229708770496</v>
      </c>
    </row>
    <row r="1895" spans="1:14" x14ac:dyDescent="0.35">
      <c r="A1895">
        <v>1893</v>
      </c>
      <c r="B1895" t="s">
        <v>25</v>
      </c>
      <c r="C1895" t="s">
        <v>35</v>
      </c>
      <c r="D1895">
        <v>0.16666666666666666</v>
      </c>
      <c r="E1895">
        <v>0.83333333333333337</v>
      </c>
      <c r="F1895">
        <v>348.15</v>
      </c>
      <c r="G1895">
        <v>729</v>
      </c>
      <c r="H1895">
        <f t="shared" si="116"/>
        <v>-4.41</v>
      </c>
      <c r="I1895">
        <v>1.2155178329914935E-2</v>
      </c>
      <c r="J1895" t="str">
        <f t="shared" si="117"/>
        <v>C[N+](C)(C)CC(=O)[O-]CC(CO)O</v>
      </c>
      <c r="K1895">
        <v>72</v>
      </c>
      <c r="M1895">
        <f t="shared" si="118"/>
        <v>2.7970463398510086</v>
      </c>
      <c r="N1895">
        <f t="shared" si="119"/>
        <v>-0.21363978688571578</v>
      </c>
    </row>
    <row r="1896" spans="1:14" x14ac:dyDescent="0.35">
      <c r="A1896">
        <v>1894</v>
      </c>
      <c r="B1896" t="s">
        <v>7</v>
      </c>
      <c r="C1896" t="s">
        <v>50</v>
      </c>
      <c r="D1896">
        <v>0.16666666666666666</v>
      </c>
      <c r="E1896">
        <v>0.83333333333333337</v>
      </c>
      <c r="F1896">
        <v>293.14999999999998</v>
      </c>
      <c r="G1896">
        <v>52.8</v>
      </c>
      <c r="H1896">
        <f t="shared" si="116"/>
        <v>-6.03</v>
      </c>
      <c r="I1896">
        <v>2.4054939786195095E-3</v>
      </c>
      <c r="J1896" t="str">
        <f t="shared" si="117"/>
        <v>C[N+](C)(C)CCO.[Cl-]COC1=CC=CC=C1O</v>
      </c>
      <c r="K1896">
        <v>90</v>
      </c>
      <c r="M1896">
        <f t="shared" si="118"/>
        <v>-1.5133953811599403</v>
      </c>
      <c r="N1896">
        <f t="shared" si="119"/>
        <v>-0.59182863570446054</v>
      </c>
    </row>
    <row r="1897" spans="1:14" x14ac:dyDescent="0.35">
      <c r="A1897">
        <v>1895</v>
      </c>
      <c r="B1897" t="s">
        <v>7</v>
      </c>
      <c r="C1897" t="s">
        <v>50</v>
      </c>
      <c r="D1897">
        <v>0.16666666666666666</v>
      </c>
      <c r="E1897">
        <v>0.83333333333333337</v>
      </c>
      <c r="F1897">
        <v>293.14999999999998</v>
      </c>
      <c r="G1897">
        <v>139.80000000000001</v>
      </c>
      <c r="H1897">
        <f t="shared" si="116"/>
        <v>-5.13</v>
      </c>
      <c r="I1897">
        <v>5.9165604736818572E-3</v>
      </c>
      <c r="J1897" t="str">
        <f t="shared" si="117"/>
        <v>C[N+](C)(C)CCO.[Cl-]COC1=CC=CC=C1O</v>
      </c>
      <c r="K1897">
        <v>90</v>
      </c>
      <c r="M1897">
        <f t="shared" si="118"/>
        <v>-1.5133953811599403</v>
      </c>
      <c r="N1897">
        <f t="shared" si="119"/>
        <v>-0.54317079801260781</v>
      </c>
    </row>
    <row r="1898" spans="1:14" x14ac:dyDescent="0.35">
      <c r="A1898">
        <v>1896</v>
      </c>
      <c r="B1898" t="s">
        <v>7</v>
      </c>
      <c r="C1898" t="s">
        <v>50</v>
      </c>
      <c r="D1898">
        <v>0.16666666666666666</v>
      </c>
      <c r="E1898">
        <v>0.83333333333333337</v>
      </c>
      <c r="F1898">
        <v>293.14999999999998</v>
      </c>
      <c r="G1898">
        <v>246.1</v>
      </c>
      <c r="H1898">
        <f t="shared" si="116"/>
        <v>-4.53</v>
      </c>
      <c r="I1898">
        <v>1.0780676072743084E-2</v>
      </c>
      <c r="J1898" t="str">
        <f t="shared" si="117"/>
        <v>C[N+](C)(C)CCO.[Cl-]COC1=CC=CC=C1O</v>
      </c>
      <c r="K1898">
        <v>90</v>
      </c>
      <c r="M1898">
        <f t="shared" si="118"/>
        <v>-1.5133953811599403</v>
      </c>
      <c r="N1898">
        <f t="shared" si="119"/>
        <v>-0.48371875035003375</v>
      </c>
    </row>
    <row r="1899" spans="1:14" x14ac:dyDescent="0.35">
      <c r="A1899">
        <v>1897</v>
      </c>
      <c r="B1899" t="s">
        <v>7</v>
      </c>
      <c r="C1899" t="s">
        <v>50</v>
      </c>
      <c r="D1899">
        <v>0.16666666666666666</v>
      </c>
      <c r="E1899">
        <v>0.83333333333333337</v>
      </c>
      <c r="F1899">
        <v>293.14999999999998</v>
      </c>
      <c r="G1899">
        <v>331.1</v>
      </c>
      <c r="H1899">
        <f t="shared" si="116"/>
        <v>-4.2336066295556085</v>
      </c>
      <c r="I1899">
        <v>1.4500000000000001E-2</v>
      </c>
      <c r="J1899" t="str">
        <f t="shared" si="117"/>
        <v>C[N+](C)(C)CCO.[Cl-]COC1=CC=CC=C1O</v>
      </c>
      <c r="K1899">
        <v>90</v>
      </c>
      <c r="M1899">
        <f t="shared" si="118"/>
        <v>-1.5133953811599403</v>
      </c>
      <c r="N1899">
        <f t="shared" si="119"/>
        <v>-0.43617948363960296</v>
      </c>
    </row>
    <row r="1900" spans="1:14" x14ac:dyDescent="0.35">
      <c r="A1900">
        <v>1898</v>
      </c>
      <c r="B1900" t="s">
        <v>7</v>
      </c>
      <c r="C1900" t="s">
        <v>50</v>
      </c>
      <c r="D1900">
        <v>0.16666666666666666</v>
      </c>
      <c r="E1900">
        <v>0.83333333333333337</v>
      </c>
      <c r="F1900">
        <v>293.14999999999998</v>
      </c>
      <c r="G1900">
        <v>419.5</v>
      </c>
      <c r="H1900">
        <f t="shared" si="116"/>
        <v>-3.99</v>
      </c>
      <c r="I1900">
        <v>1.8499714119819242E-2</v>
      </c>
      <c r="J1900" t="str">
        <f t="shared" si="117"/>
        <v>C[N+](C)(C)CCO.[Cl-]COC1=CC=CC=C1O</v>
      </c>
      <c r="K1900">
        <v>90</v>
      </c>
      <c r="M1900">
        <f t="shared" si="118"/>
        <v>-1.5133953811599403</v>
      </c>
      <c r="N1900">
        <f t="shared" si="119"/>
        <v>-0.38673864626075499</v>
      </c>
    </row>
    <row r="1901" spans="1:14" x14ac:dyDescent="0.35">
      <c r="A1901">
        <v>1899</v>
      </c>
      <c r="B1901" t="s">
        <v>7</v>
      </c>
      <c r="C1901" t="s">
        <v>50</v>
      </c>
      <c r="D1901">
        <v>0.16666666666666666</v>
      </c>
      <c r="E1901">
        <v>0.83333333333333337</v>
      </c>
      <c r="F1901">
        <v>293.14999999999998</v>
      </c>
      <c r="G1901">
        <v>528.4</v>
      </c>
      <c r="H1901">
        <f t="shared" si="116"/>
        <v>-3.76</v>
      </c>
      <c r="I1901">
        <v>2.328374037489701E-2</v>
      </c>
      <c r="J1901" t="str">
        <f t="shared" si="117"/>
        <v>C[N+](C)(C)CCO.[Cl-]COC1=CC=CC=C1O</v>
      </c>
      <c r="K1901">
        <v>90</v>
      </c>
      <c r="M1901">
        <f t="shared" si="118"/>
        <v>-1.5133953811599403</v>
      </c>
      <c r="N1901">
        <f t="shared" si="119"/>
        <v>-0.32583245632233249</v>
      </c>
    </row>
    <row r="1902" spans="1:14" x14ac:dyDescent="0.35">
      <c r="A1902">
        <v>1900</v>
      </c>
      <c r="B1902" t="s">
        <v>7</v>
      </c>
      <c r="C1902" t="s">
        <v>50</v>
      </c>
      <c r="D1902">
        <v>0.16666666666666666</v>
      </c>
      <c r="E1902">
        <v>0.83333333333333337</v>
      </c>
      <c r="F1902">
        <v>303.14999999999998</v>
      </c>
      <c r="G1902">
        <v>46.9</v>
      </c>
      <c r="H1902">
        <f t="shared" si="116"/>
        <v>-6.38</v>
      </c>
      <c r="I1902">
        <v>1.6951229566232505E-3</v>
      </c>
      <c r="J1902" t="str">
        <f t="shared" si="117"/>
        <v>C[N+](C)(C)CCO.[Cl-]COC1=CC=CC=C1O</v>
      </c>
      <c r="K1902">
        <v>90</v>
      </c>
      <c r="M1902">
        <f t="shared" si="118"/>
        <v>-0.72967870461249518</v>
      </c>
      <c r="N1902">
        <f t="shared" si="119"/>
        <v>-0.59512842009965505</v>
      </c>
    </row>
    <row r="1903" spans="1:14" x14ac:dyDescent="0.35">
      <c r="A1903">
        <v>1901</v>
      </c>
      <c r="B1903" t="s">
        <v>7</v>
      </c>
      <c r="C1903" t="s">
        <v>50</v>
      </c>
      <c r="D1903">
        <v>0.16666666666666666</v>
      </c>
      <c r="E1903">
        <v>0.83333333333333337</v>
      </c>
      <c r="F1903">
        <v>303.14999999999998</v>
      </c>
      <c r="G1903">
        <v>145.19999999999999</v>
      </c>
      <c r="H1903">
        <f t="shared" si="116"/>
        <v>-5.26</v>
      </c>
      <c r="I1903">
        <v>5.1953047187052312E-3</v>
      </c>
      <c r="J1903" t="str">
        <f t="shared" si="117"/>
        <v>C[N+](C)(C)CCO.[Cl-]COC1=CC=CC=C1O</v>
      </c>
      <c r="K1903">
        <v>90</v>
      </c>
      <c r="M1903">
        <f t="shared" si="118"/>
        <v>-0.72967870461249518</v>
      </c>
      <c r="N1903">
        <f t="shared" si="119"/>
        <v>-0.54015065636276871</v>
      </c>
    </row>
    <row r="1904" spans="1:14" x14ac:dyDescent="0.35">
      <c r="A1904">
        <v>1902</v>
      </c>
      <c r="B1904" t="s">
        <v>7</v>
      </c>
      <c r="C1904" t="s">
        <v>50</v>
      </c>
      <c r="D1904">
        <v>0.16666666666666666</v>
      </c>
      <c r="E1904">
        <v>0.83333333333333337</v>
      </c>
      <c r="F1904">
        <v>303.14999999999998</v>
      </c>
      <c r="G1904">
        <v>239.4</v>
      </c>
      <c r="H1904">
        <f t="shared" si="116"/>
        <v>-4.7300000000000004</v>
      </c>
      <c r="I1904">
        <v>8.8264710397267226E-3</v>
      </c>
      <c r="J1904" t="str">
        <f t="shared" si="117"/>
        <v>C[N+](C)(C)CCO.[Cl-]COC1=CC=CC=C1O</v>
      </c>
      <c r="K1904">
        <v>90</v>
      </c>
      <c r="M1904">
        <f t="shared" si="118"/>
        <v>-0.72967870461249518</v>
      </c>
      <c r="N1904">
        <f t="shared" si="119"/>
        <v>-0.48746596313779716</v>
      </c>
    </row>
    <row r="1905" spans="1:14" x14ac:dyDescent="0.35">
      <c r="A1905">
        <v>1903</v>
      </c>
      <c r="B1905" t="s">
        <v>7</v>
      </c>
      <c r="C1905" t="s">
        <v>50</v>
      </c>
      <c r="D1905">
        <v>0.16666666666666666</v>
      </c>
      <c r="E1905">
        <v>0.83333333333333337</v>
      </c>
      <c r="F1905">
        <v>303.14999999999998</v>
      </c>
      <c r="G1905">
        <v>330.4</v>
      </c>
      <c r="H1905">
        <f t="shared" si="116"/>
        <v>-4.41</v>
      </c>
      <c r="I1905">
        <v>1.2155178329914935E-2</v>
      </c>
      <c r="J1905" t="str">
        <f t="shared" si="117"/>
        <v>C[N+](C)(C)CCO.[Cl-]COC1=CC=CC=C1O</v>
      </c>
      <c r="K1905">
        <v>90</v>
      </c>
      <c r="M1905">
        <f t="shared" si="118"/>
        <v>-0.72967870461249518</v>
      </c>
      <c r="N1905">
        <f t="shared" si="119"/>
        <v>-0.43657098348310069</v>
      </c>
    </row>
    <row r="1906" spans="1:14" x14ac:dyDescent="0.35">
      <c r="A1906">
        <v>1904</v>
      </c>
      <c r="B1906" t="s">
        <v>7</v>
      </c>
      <c r="C1906" t="s">
        <v>50</v>
      </c>
      <c r="D1906">
        <v>0.16666666666666666</v>
      </c>
      <c r="E1906">
        <v>0.83333333333333337</v>
      </c>
      <c r="F1906">
        <v>303.14999999999998</v>
      </c>
      <c r="G1906">
        <v>431.8</v>
      </c>
      <c r="H1906">
        <f t="shared" si="116"/>
        <v>-4.13</v>
      </c>
      <c r="I1906">
        <v>1.6082878822588433E-2</v>
      </c>
      <c r="J1906" t="str">
        <f t="shared" si="117"/>
        <v>C[N+](C)(C)CCO.[Cl-]COC1=CC=CC=C1O</v>
      </c>
      <c r="K1906">
        <v>90</v>
      </c>
      <c r="M1906">
        <f t="shared" si="118"/>
        <v>-0.72967870461249518</v>
      </c>
      <c r="N1906">
        <f t="shared" si="119"/>
        <v>-0.37985943472501033</v>
      </c>
    </row>
    <row r="1907" spans="1:14" x14ac:dyDescent="0.35">
      <c r="A1907">
        <v>1905</v>
      </c>
      <c r="B1907" t="s">
        <v>7</v>
      </c>
      <c r="C1907" t="s">
        <v>50</v>
      </c>
      <c r="D1907">
        <v>0.16666666666666666</v>
      </c>
      <c r="E1907">
        <v>0.83333333333333337</v>
      </c>
      <c r="F1907">
        <v>303.14999999999998</v>
      </c>
      <c r="G1907">
        <v>538.9</v>
      </c>
      <c r="H1907">
        <f t="shared" si="116"/>
        <v>-3.91</v>
      </c>
      <c r="I1907">
        <v>2.0040501061684014E-2</v>
      </c>
      <c r="J1907" t="str">
        <f t="shared" si="117"/>
        <v>C[N+](C)(C)CCO.[Cl-]COC1=CC=CC=C1O</v>
      </c>
      <c r="K1907">
        <v>90</v>
      </c>
      <c r="M1907">
        <f t="shared" si="118"/>
        <v>-0.72967870461249518</v>
      </c>
      <c r="N1907">
        <f t="shared" si="119"/>
        <v>-0.31995995866986748</v>
      </c>
    </row>
    <row r="1908" spans="1:14" x14ac:dyDescent="0.35">
      <c r="A1908">
        <v>1906</v>
      </c>
      <c r="B1908" t="s">
        <v>7</v>
      </c>
      <c r="C1908" t="s">
        <v>50</v>
      </c>
      <c r="D1908">
        <v>0.16666666666666666</v>
      </c>
      <c r="E1908">
        <v>0.83333333333333337</v>
      </c>
      <c r="F1908">
        <v>313.14999999999998</v>
      </c>
      <c r="G1908">
        <v>55.3</v>
      </c>
      <c r="H1908">
        <f t="shared" si="116"/>
        <v>-6.27</v>
      </c>
      <c r="I1908">
        <v>1.8922285832099397E-3</v>
      </c>
      <c r="J1908" t="str">
        <f t="shared" si="117"/>
        <v>C[N+](C)(C)CCO.[Cl-]COC1=CC=CC=C1O</v>
      </c>
      <c r="K1908">
        <v>90</v>
      </c>
      <c r="M1908">
        <f t="shared" si="118"/>
        <v>5.4037971934950142E-2</v>
      </c>
      <c r="N1908">
        <f t="shared" si="119"/>
        <v>-0.59043042197768314</v>
      </c>
    </row>
    <row r="1909" spans="1:14" x14ac:dyDescent="0.35">
      <c r="A1909">
        <v>1907</v>
      </c>
      <c r="B1909" t="s">
        <v>7</v>
      </c>
      <c r="C1909" t="s">
        <v>50</v>
      </c>
      <c r="D1909">
        <v>0.16666666666666666</v>
      </c>
      <c r="E1909">
        <v>0.83333333333333337</v>
      </c>
      <c r="F1909">
        <v>313.14999999999998</v>
      </c>
      <c r="G1909">
        <v>140.69999999999999</v>
      </c>
      <c r="H1909">
        <f t="shared" si="116"/>
        <v>-5.4</v>
      </c>
      <c r="I1909">
        <v>4.5165809426126659E-3</v>
      </c>
      <c r="J1909" t="str">
        <f t="shared" si="117"/>
        <v>C[N+](C)(C)CCO.[Cl-]COC1=CC=CC=C1O</v>
      </c>
      <c r="K1909">
        <v>90</v>
      </c>
      <c r="M1909">
        <f t="shared" si="118"/>
        <v>5.4037971934950142E-2</v>
      </c>
      <c r="N1909">
        <f t="shared" si="119"/>
        <v>-0.54266744107096798</v>
      </c>
    </row>
    <row r="1910" spans="1:14" x14ac:dyDescent="0.35">
      <c r="A1910">
        <v>1908</v>
      </c>
      <c r="B1910" t="s">
        <v>7</v>
      </c>
      <c r="C1910" t="s">
        <v>50</v>
      </c>
      <c r="D1910">
        <v>0.16666666666666666</v>
      </c>
      <c r="E1910">
        <v>0.83333333333333337</v>
      </c>
      <c r="F1910">
        <v>313.14999999999998</v>
      </c>
      <c r="G1910">
        <v>235.9</v>
      </c>
      <c r="H1910">
        <f t="shared" si="116"/>
        <v>-4.88</v>
      </c>
      <c r="I1910">
        <v>7.597014027577567E-3</v>
      </c>
      <c r="J1910" t="str">
        <f t="shared" si="117"/>
        <v>C[N+](C)(C)CCO.[Cl-]COC1=CC=CC=C1O</v>
      </c>
      <c r="K1910">
        <v>90</v>
      </c>
      <c r="M1910">
        <f t="shared" si="118"/>
        <v>5.4037971934950142E-2</v>
      </c>
      <c r="N1910">
        <f t="shared" si="119"/>
        <v>-0.4894234623552855</v>
      </c>
    </row>
    <row r="1911" spans="1:14" x14ac:dyDescent="0.35">
      <c r="A1911">
        <v>1909</v>
      </c>
      <c r="B1911" t="s">
        <v>7</v>
      </c>
      <c r="C1911" t="s">
        <v>50</v>
      </c>
      <c r="D1911">
        <v>0.16666666666666666</v>
      </c>
      <c r="E1911">
        <v>0.83333333333333337</v>
      </c>
      <c r="F1911">
        <v>313.14999999999998</v>
      </c>
      <c r="G1911">
        <v>331.8</v>
      </c>
      <c r="H1911">
        <f t="shared" si="116"/>
        <v>-4.54</v>
      </c>
      <c r="I1911">
        <v>1.0673406553522925E-2</v>
      </c>
      <c r="J1911" t="str">
        <f t="shared" si="117"/>
        <v>C[N+](C)(C)CCO.[Cl-]COC1=CC=CC=C1O</v>
      </c>
      <c r="K1911">
        <v>90</v>
      </c>
      <c r="M1911">
        <f t="shared" si="118"/>
        <v>5.4037971934950142E-2</v>
      </c>
      <c r="N1911">
        <f t="shared" si="119"/>
        <v>-0.43578798379610534</v>
      </c>
    </row>
    <row r="1912" spans="1:14" x14ac:dyDescent="0.35">
      <c r="A1912">
        <v>1910</v>
      </c>
      <c r="B1912" t="s">
        <v>7</v>
      </c>
      <c r="C1912" t="s">
        <v>50</v>
      </c>
      <c r="D1912">
        <v>0.16666666666666666</v>
      </c>
      <c r="E1912">
        <v>0.83333333333333337</v>
      </c>
      <c r="F1912">
        <v>313.14999999999998</v>
      </c>
      <c r="G1912">
        <v>434.8</v>
      </c>
      <c r="H1912">
        <f t="shared" si="116"/>
        <v>-4.2545133143749219</v>
      </c>
      <c r="I1912">
        <v>1.4200000000000001E-2</v>
      </c>
      <c r="J1912" t="str">
        <f t="shared" si="117"/>
        <v>C[N+](C)(C)CCO.[Cl-]COC1=CC=CC=C1O</v>
      </c>
      <c r="K1912">
        <v>90</v>
      </c>
      <c r="M1912">
        <f t="shared" si="118"/>
        <v>5.4037971934950142E-2</v>
      </c>
      <c r="N1912">
        <f t="shared" si="119"/>
        <v>-0.37818157825287746</v>
      </c>
    </row>
    <row r="1913" spans="1:14" x14ac:dyDescent="0.35">
      <c r="A1913">
        <v>1911</v>
      </c>
      <c r="B1913" t="s">
        <v>7</v>
      </c>
      <c r="C1913" t="s">
        <v>50</v>
      </c>
      <c r="D1913">
        <v>0.16666666666666666</v>
      </c>
      <c r="E1913">
        <v>0.83333333333333337</v>
      </c>
      <c r="F1913">
        <v>313.14999999999998</v>
      </c>
      <c r="G1913">
        <v>536.4</v>
      </c>
      <c r="H1913">
        <f t="shared" si="116"/>
        <v>-4.0455543980526683</v>
      </c>
      <c r="I1913">
        <v>1.7500000000000002E-2</v>
      </c>
      <c r="J1913" t="str">
        <f t="shared" si="117"/>
        <v>C[N+](C)(C)CCO.[Cl-]COC1=CC=CC=C1O</v>
      </c>
      <c r="K1913">
        <v>90</v>
      </c>
      <c r="M1913">
        <f t="shared" si="118"/>
        <v>5.4037971934950142E-2</v>
      </c>
      <c r="N1913">
        <f t="shared" si="119"/>
        <v>-0.32135817239664488</v>
      </c>
    </row>
    <row r="1914" spans="1:14" x14ac:dyDescent="0.35">
      <c r="A1914">
        <v>1912</v>
      </c>
      <c r="B1914" t="s">
        <v>7</v>
      </c>
      <c r="C1914" t="s">
        <v>50</v>
      </c>
      <c r="D1914">
        <v>0.16666666666666666</v>
      </c>
      <c r="E1914">
        <v>0.83333333333333337</v>
      </c>
      <c r="F1914">
        <v>323.14999999999998</v>
      </c>
      <c r="G1914">
        <v>48.5</v>
      </c>
      <c r="H1914">
        <f t="shared" si="116"/>
        <v>-6.5</v>
      </c>
      <c r="I1914">
        <v>1.5034391929775724E-3</v>
      </c>
      <c r="J1914" t="str">
        <f t="shared" si="117"/>
        <v>C[N+](C)(C)CCO.[Cl-]COC1=CC=CC=C1O</v>
      </c>
      <c r="K1914">
        <v>90</v>
      </c>
      <c r="M1914">
        <f t="shared" si="118"/>
        <v>0.83775464848239545</v>
      </c>
      <c r="N1914">
        <f t="shared" si="119"/>
        <v>-0.5942335633145176</v>
      </c>
    </row>
    <row r="1915" spans="1:14" x14ac:dyDescent="0.35">
      <c r="A1915">
        <v>1913</v>
      </c>
      <c r="B1915" t="s">
        <v>7</v>
      </c>
      <c r="C1915" t="s">
        <v>50</v>
      </c>
      <c r="D1915">
        <v>0.16666666666666666</v>
      </c>
      <c r="E1915">
        <v>0.83333333333333337</v>
      </c>
      <c r="F1915">
        <v>323.14999999999998</v>
      </c>
      <c r="G1915">
        <v>146.30000000000001</v>
      </c>
      <c r="H1915">
        <f t="shared" si="116"/>
        <v>-5.52</v>
      </c>
      <c r="I1915">
        <v>4.0058479420904203E-3</v>
      </c>
      <c r="J1915" t="str">
        <f t="shared" si="117"/>
        <v>C[N+](C)(C)CCO.[Cl-]COC1=CC=CC=C1O</v>
      </c>
      <c r="K1915">
        <v>90</v>
      </c>
      <c r="M1915">
        <f t="shared" si="118"/>
        <v>0.83775464848239545</v>
      </c>
      <c r="N1915">
        <f t="shared" si="119"/>
        <v>-0.53953544232298667</v>
      </c>
    </row>
    <row r="1916" spans="1:14" x14ac:dyDescent="0.35">
      <c r="A1916">
        <v>1914</v>
      </c>
      <c r="B1916" t="s">
        <v>7</v>
      </c>
      <c r="C1916" t="s">
        <v>50</v>
      </c>
      <c r="D1916">
        <v>0.16666666666666666</v>
      </c>
      <c r="E1916">
        <v>0.83333333333333337</v>
      </c>
      <c r="F1916">
        <v>323.14999999999998</v>
      </c>
      <c r="G1916">
        <v>237.5</v>
      </c>
      <c r="H1916">
        <f t="shared" si="116"/>
        <v>-5.04</v>
      </c>
      <c r="I1916">
        <v>6.4737483182894049E-3</v>
      </c>
      <c r="J1916" t="str">
        <f t="shared" si="117"/>
        <v>C[N+](C)(C)CCO.[Cl-]COC1=CC=CC=C1O</v>
      </c>
      <c r="K1916">
        <v>90</v>
      </c>
      <c r="M1916">
        <f t="shared" si="118"/>
        <v>0.83775464848239545</v>
      </c>
      <c r="N1916">
        <f t="shared" si="119"/>
        <v>-0.48852860557014799</v>
      </c>
    </row>
    <row r="1917" spans="1:14" x14ac:dyDescent="0.35">
      <c r="A1917">
        <v>1915</v>
      </c>
      <c r="B1917" t="s">
        <v>7</v>
      </c>
      <c r="C1917" t="s">
        <v>50</v>
      </c>
      <c r="D1917">
        <v>0.16666666666666666</v>
      </c>
      <c r="E1917">
        <v>0.83333333333333337</v>
      </c>
      <c r="F1917">
        <v>323.14999999999998</v>
      </c>
      <c r="G1917">
        <v>334.9</v>
      </c>
      <c r="H1917">
        <f t="shared" si="116"/>
        <v>-4.67</v>
      </c>
      <c r="I1917">
        <v>9.3722695270060576E-3</v>
      </c>
      <c r="J1917" t="str">
        <f t="shared" si="117"/>
        <v>C[N+](C)(C)CCO.[Cl-]COC1=CC=CC=C1O</v>
      </c>
      <c r="K1917">
        <v>90</v>
      </c>
      <c r="M1917">
        <f t="shared" si="118"/>
        <v>0.83775464848239545</v>
      </c>
      <c r="N1917">
        <f t="shared" si="119"/>
        <v>-0.43405419877490142</v>
      </c>
    </row>
    <row r="1918" spans="1:14" x14ac:dyDescent="0.35">
      <c r="A1918">
        <v>1916</v>
      </c>
      <c r="B1918" t="s">
        <v>7</v>
      </c>
      <c r="C1918" t="s">
        <v>50</v>
      </c>
      <c r="D1918">
        <v>0.16666666666666666</v>
      </c>
      <c r="E1918">
        <v>0.83333333333333337</v>
      </c>
      <c r="F1918">
        <v>323.14999999999998</v>
      </c>
      <c r="G1918">
        <v>432</v>
      </c>
      <c r="H1918">
        <f t="shared" si="116"/>
        <v>-4.42</v>
      </c>
      <c r="I1918">
        <v>1.2034232284723775E-2</v>
      </c>
      <c r="J1918" t="str">
        <f t="shared" si="117"/>
        <v>C[N+](C)(C)CCO.[Cl-]COC1=CC=CC=C1O</v>
      </c>
      <c r="K1918">
        <v>90</v>
      </c>
      <c r="M1918">
        <f t="shared" si="118"/>
        <v>0.83775464848239545</v>
      </c>
      <c r="N1918">
        <f t="shared" si="119"/>
        <v>-0.37974757762686812</v>
      </c>
    </row>
    <row r="1919" spans="1:14" x14ac:dyDescent="0.35">
      <c r="A1919">
        <v>1917</v>
      </c>
      <c r="B1919" t="s">
        <v>7</v>
      </c>
      <c r="C1919" t="s">
        <v>50</v>
      </c>
      <c r="D1919">
        <v>0.16666666666666666</v>
      </c>
      <c r="E1919">
        <v>0.83333333333333337</v>
      </c>
      <c r="F1919">
        <v>323.14999999999998</v>
      </c>
      <c r="G1919">
        <v>529.20000000000005</v>
      </c>
      <c r="H1919">
        <f t="shared" si="116"/>
        <v>-4.21</v>
      </c>
      <c r="I1919">
        <v>1.4846368338086832E-2</v>
      </c>
      <c r="J1919" t="str">
        <f t="shared" si="117"/>
        <v>C[N+](C)(C)CCO.[Cl-]COC1=CC=CC=C1O</v>
      </c>
      <c r="K1919">
        <v>90</v>
      </c>
      <c r="M1919">
        <f t="shared" si="118"/>
        <v>0.83775464848239545</v>
      </c>
      <c r="N1919">
        <f t="shared" si="119"/>
        <v>-0.32538502792976365</v>
      </c>
    </row>
    <row r="1920" spans="1:14" x14ac:dyDescent="0.35">
      <c r="A1920">
        <v>1918</v>
      </c>
      <c r="B1920" t="s">
        <v>8</v>
      </c>
      <c r="C1920" t="s">
        <v>50</v>
      </c>
      <c r="D1920">
        <v>0.16666666666666666</v>
      </c>
      <c r="E1920">
        <v>0.83333333333333337</v>
      </c>
      <c r="F1920">
        <v>293.14999999999998</v>
      </c>
      <c r="G1920">
        <v>48.8</v>
      </c>
      <c r="H1920">
        <f t="shared" si="116"/>
        <v>-5.95</v>
      </c>
      <c r="I1920">
        <v>2.6058405184084983E-3</v>
      </c>
      <c r="J1920" t="str">
        <f t="shared" si="117"/>
        <v>CC[NH2+]CC.[Cl-]COC1=CC=CC=C1O</v>
      </c>
      <c r="K1920">
        <v>62</v>
      </c>
      <c r="M1920">
        <f t="shared" si="118"/>
        <v>-1.5133953811599403</v>
      </c>
      <c r="N1920">
        <f t="shared" si="119"/>
        <v>-0.5940657776673044</v>
      </c>
    </row>
    <row r="1921" spans="1:14" x14ac:dyDescent="0.35">
      <c r="A1921">
        <v>1919</v>
      </c>
      <c r="B1921" t="s">
        <v>8</v>
      </c>
      <c r="C1921" t="s">
        <v>50</v>
      </c>
      <c r="D1921">
        <v>0.16666666666666666</v>
      </c>
      <c r="E1921">
        <v>0.83333333333333337</v>
      </c>
      <c r="F1921">
        <v>293.14999999999998</v>
      </c>
      <c r="G1921">
        <v>131.9</v>
      </c>
      <c r="H1921">
        <f t="shared" si="116"/>
        <v>-4.95</v>
      </c>
      <c r="I1921">
        <v>7.0834089290521185E-3</v>
      </c>
      <c r="J1921" t="str">
        <f t="shared" si="117"/>
        <v>CC[NH2+]CC.[Cl-]COC1=CC=CC=C1O</v>
      </c>
      <c r="K1921">
        <v>62</v>
      </c>
      <c r="M1921">
        <f t="shared" si="118"/>
        <v>-1.5133953811599403</v>
      </c>
      <c r="N1921">
        <f t="shared" si="119"/>
        <v>-0.54758915338922431</v>
      </c>
    </row>
    <row r="1922" spans="1:14" x14ac:dyDescent="0.35">
      <c r="A1922">
        <v>1920</v>
      </c>
      <c r="B1922" t="s">
        <v>8</v>
      </c>
      <c r="C1922" t="s">
        <v>50</v>
      </c>
      <c r="D1922">
        <v>0.16666666666666666</v>
      </c>
      <c r="E1922">
        <v>0.83333333333333337</v>
      </c>
      <c r="F1922">
        <v>293.14999999999998</v>
      </c>
      <c r="G1922">
        <v>245.3</v>
      </c>
      <c r="H1922">
        <f t="shared" si="116"/>
        <v>-4.3499999999999996</v>
      </c>
      <c r="I1922">
        <v>1.2906812580479873E-2</v>
      </c>
      <c r="J1922" t="str">
        <f t="shared" si="117"/>
        <v>CC[NH2+]CC.[Cl-]COC1=CC=CC=C1O</v>
      </c>
      <c r="K1922">
        <v>62</v>
      </c>
      <c r="M1922">
        <f t="shared" si="118"/>
        <v>-1.5133953811599403</v>
      </c>
      <c r="N1922">
        <f t="shared" si="119"/>
        <v>-0.48416617874260259</v>
      </c>
    </row>
    <row r="1923" spans="1:14" x14ac:dyDescent="0.35">
      <c r="A1923">
        <v>1921</v>
      </c>
      <c r="B1923" t="s">
        <v>8</v>
      </c>
      <c r="C1923" t="s">
        <v>50</v>
      </c>
      <c r="D1923">
        <v>0.16666666666666666</v>
      </c>
      <c r="E1923">
        <v>0.83333333333333337</v>
      </c>
      <c r="F1923">
        <v>293.14999999999998</v>
      </c>
      <c r="G1923">
        <v>326.5</v>
      </c>
      <c r="H1923">
        <f t="shared" ref="H1923:H1986" si="120">LN(I1923)</f>
        <v>-4.0599999999999996</v>
      </c>
      <c r="I1923">
        <v>1.7249019115346279E-2</v>
      </c>
      <c r="J1923" t="str">
        <f t="shared" ref="J1923:J1986" si="121">_xlfn.CONCAT(B1923,C1923)</f>
        <v>CC[NH2+]CC.[Cl-]COC1=CC=CC=C1O</v>
      </c>
      <c r="K1923">
        <v>62</v>
      </c>
      <c r="M1923">
        <f t="shared" ref="M1923:M1986" si="122">(F1923-$L$3)/$L$2</f>
        <v>-1.5133953811599403</v>
      </c>
      <c r="N1923">
        <f t="shared" ref="N1923:N1986" si="123">(G1923-$L$6)/$L$5</f>
        <v>-0.43875219689687339</v>
      </c>
    </row>
    <row r="1924" spans="1:14" x14ac:dyDescent="0.35">
      <c r="A1924">
        <v>1922</v>
      </c>
      <c r="B1924" t="s">
        <v>8</v>
      </c>
      <c r="C1924" t="s">
        <v>50</v>
      </c>
      <c r="D1924">
        <v>0.16666666666666666</v>
      </c>
      <c r="E1924">
        <v>0.83333333333333337</v>
      </c>
      <c r="F1924">
        <v>293.14999999999998</v>
      </c>
      <c r="G1924">
        <v>419.2</v>
      </c>
      <c r="H1924">
        <f t="shared" si="120"/>
        <v>-3.8076629901039034</v>
      </c>
      <c r="I1924">
        <v>2.2200000000000001E-2</v>
      </c>
      <c r="J1924" t="str">
        <f t="shared" si="121"/>
        <v>CC[NH2+]CC.[Cl-]COC1=CC=CC=C1O</v>
      </c>
      <c r="K1924">
        <v>62</v>
      </c>
      <c r="M1924">
        <f t="shared" si="122"/>
        <v>-1.5133953811599403</v>
      </c>
      <c r="N1924">
        <f t="shared" si="123"/>
        <v>-0.38690643190796825</v>
      </c>
    </row>
    <row r="1925" spans="1:14" x14ac:dyDescent="0.35">
      <c r="A1925">
        <v>1923</v>
      </c>
      <c r="B1925" t="s">
        <v>8</v>
      </c>
      <c r="C1925" t="s">
        <v>50</v>
      </c>
      <c r="D1925">
        <v>0.16666666666666666</v>
      </c>
      <c r="E1925">
        <v>0.83333333333333337</v>
      </c>
      <c r="F1925">
        <v>293.14999999999998</v>
      </c>
      <c r="G1925">
        <v>522.29999999999995</v>
      </c>
      <c r="H1925">
        <f t="shared" si="120"/>
        <v>-3.5935692743096115</v>
      </c>
      <c r="I1925">
        <v>2.75E-2</v>
      </c>
      <c r="J1925" t="str">
        <f t="shared" si="121"/>
        <v>CC[NH2+]CC.[Cl-]COC1=CC=CC=C1O</v>
      </c>
      <c r="K1925">
        <v>62</v>
      </c>
      <c r="M1925">
        <f t="shared" si="122"/>
        <v>-1.5133953811599403</v>
      </c>
      <c r="N1925">
        <f t="shared" si="123"/>
        <v>-0.32924409781566927</v>
      </c>
    </row>
    <row r="1926" spans="1:14" x14ac:dyDescent="0.35">
      <c r="A1926">
        <v>1924</v>
      </c>
      <c r="B1926" t="s">
        <v>8</v>
      </c>
      <c r="C1926" t="s">
        <v>50</v>
      </c>
      <c r="D1926">
        <v>0.16666666666666666</v>
      </c>
      <c r="E1926">
        <v>0.83333333333333337</v>
      </c>
      <c r="F1926">
        <v>303.14999999999998</v>
      </c>
      <c r="G1926">
        <v>57</v>
      </c>
      <c r="H1926">
        <f t="shared" si="120"/>
        <v>-5.91</v>
      </c>
      <c r="I1926">
        <v>2.7121868873866434E-3</v>
      </c>
      <c r="J1926" t="str">
        <f t="shared" si="121"/>
        <v>CC[NH2+]CC.[Cl-]COC1=CC=CC=C1O</v>
      </c>
      <c r="K1926">
        <v>62</v>
      </c>
      <c r="M1926">
        <f t="shared" si="122"/>
        <v>-0.72967870461249518</v>
      </c>
      <c r="N1926">
        <f t="shared" si="123"/>
        <v>-0.58947963664347458</v>
      </c>
    </row>
    <row r="1927" spans="1:14" x14ac:dyDescent="0.35">
      <c r="A1927">
        <v>1925</v>
      </c>
      <c r="B1927" t="s">
        <v>8</v>
      </c>
      <c r="C1927" t="s">
        <v>50</v>
      </c>
      <c r="D1927">
        <v>0.16666666666666666</v>
      </c>
      <c r="E1927">
        <v>0.83333333333333337</v>
      </c>
      <c r="F1927">
        <v>303.14999999999998</v>
      </c>
      <c r="G1927">
        <v>148.30000000000001</v>
      </c>
      <c r="H1927">
        <f t="shared" si="120"/>
        <v>-5.01</v>
      </c>
      <c r="I1927">
        <v>6.6709033062552743E-3</v>
      </c>
      <c r="J1927" t="str">
        <f t="shared" si="121"/>
        <v>CC[NH2+]CC.[Cl-]COC1=CC=CC=C1O</v>
      </c>
      <c r="K1927">
        <v>62</v>
      </c>
      <c r="M1927">
        <f t="shared" si="122"/>
        <v>-0.72967870461249518</v>
      </c>
      <c r="N1927">
        <f t="shared" si="123"/>
        <v>-0.5384168713415648</v>
      </c>
    </row>
    <row r="1928" spans="1:14" x14ac:dyDescent="0.35">
      <c r="A1928">
        <v>1926</v>
      </c>
      <c r="B1928" t="s">
        <v>8</v>
      </c>
      <c r="C1928" t="s">
        <v>50</v>
      </c>
      <c r="D1928">
        <v>0.16666666666666666</v>
      </c>
      <c r="E1928">
        <v>0.83333333333333337</v>
      </c>
      <c r="F1928">
        <v>303.14999999999998</v>
      </c>
      <c r="G1928">
        <v>244.9</v>
      </c>
      <c r="H1928">
        <f t="shared" si="120"/>
        <v>-4.49</v>
      </c>
      <c r="I1928">
        <v>1.1220643809589084E-2</v>
      </c>
      <c r="J1928" t="str">
        <f t="shared" si="121"/>
        <v>CC[NH2+]CC.[Cl-]COC1=CC=CC=C1O</v>
      </c>
      <c r="K1928">
        <v>62</v>
      </c>
      <c r="M1928">
        <f t="shared" si="122"/>
        <v>-0.72967870461249518</v>
      </c>
      <c r="N1928">
        <f t="shared" si="123"/>
        <v>-0.48438989293888696</v>
      </c>
    </row>
    <row r="1929" spans="1:14" x14ac:dyDescent="0.35">
      <c r="A1929">
        <v>1927</v>
      </c>
      <c r="B1929" t="s">
        <v>8</v>
      </c>
      <c r="C1929" t="s">
        <v>50</v>
      </c>
      <c r="D1929">
        <v>0.16666666666666666</v>
      </c>
      <c r="E1929">
        <v>0.83333333333333337</v>
      </c>
      <c r="F1929">
        <v>303.14999999999998</v>
      </c>
      <c r="G1929">
        <v>341.2</v>
      </c>
      <c r="H1929">
        <f t="shared" si="120"/>
        <v>-4.16</v>
      </c>
      <c r="I1929">
        <v>1.5607557919982831E-2</v>
      </c>
      <c r="J1929" t="str">
        <f t="shared" si="121"/>
        <v>CC[NH2+]CC.[Cl-]COC1=CC=CC=C1O</v>
      </c>
      <c r="K1929">
        <v>62</v>
      </c>
      <c r="M1929">
        <f t="shared" si="122"/>
        <v>-0.72967870461249518</v>
      </c>
      <c r="N1929">
        <f t="shared" si="123"/>
        <v>-0.43053070018342238</v>
      </c>
    </row>
    <row r="1930" spans="1:14" x14ac:dyDescent="0.35">
      <c r="A1930">
        <v>1928</v>
      </c>
      <c r="B1930" t="s">
        <v>8</v>
      </c>
      <c r="C1930" t="s">
        <v>50</v>
      </c>
      <c r="D1930">
        <v>0.16666666666666666</v>
      </c>
      <c r="E1930">
        <v>0.83333333333333337</v>
      </c>
      <c r="F1930">
        <v>303.14999999999998</v>
      </c>
      <c r="G1930">
        <v>424.4</v>
      </c>
      <c r="H1930">
        <f t="shared" si="120"/>
        <v>-3.94</v>
      </c>
      <c r="I1930">
        <v>1.9448214745385391E-2</v>
      </c>
      <c r="J1930" t="str">
        <f t="shared" si="121"/>
        <v>CC[NH2+]CC.[Cl-]COC1=CC=CC=C1O</v>
      </c>
      <c r="K1930">
        <v>62</v>
      </c>
      <c r="M1930">
        <f t="shared" si="122"/>
        <v>-0.72967870461249518</v>
      </c>
      <c r="N1930">
        <f t="shared" si="123"/>
        <v>-0.3839981473562713</v>
      </c>
    </row>
    <row r="1931" spans="1:14" x14ac:dyDescent="0.35">
      <c r="A1931">
        <v>1929</v>
      </c>
      <c r="B1931" t="s">
        <v>8</v>
      </c>
      <c r="C1931" t="s">
        <v>50</v>
      </c>
      <c r="D1931">
        <v>0.16666666666666666</v>
      </c>
      <c r="E1931">
        <v>0.83333333333333337</v>
      </c>
      <c r="F1931">
        <v>303.14999999999998</v>
      </c>
      <c r="G1931">
        <v>520.1</v>
      </c>
      <c r="H1931">
        <f t="shared" si="120"/>
        <v>-3.7422802308410517</v>
      </c>
      <c r="I1931">
        <v>2.3699999999999999E-2</v>
      </c>
      <c r="J1931" t="str">
        <f t="shared" si="121"/>
        <v>CC[NH2+]CC.[Cl-]COC1=CC=CC=C1O</v>
      </c>
      <c r="K1931">
        <v>62</v>
      </c>
      <c r="M1931">
        <f t="shared" si="122"/>
        <v>-0.72967870461249518</v>
      </c>
      <c r="N1931">
        <f t="shared" si="123"/>
        <v>-0.33047452589523335</v>
      </c>
    </row>
    <row r="1932" spans="1:14" x14ac:dyDescent="0.35">
      <c r="A1932">
        <v>1930</v>
      </c>
      <c r="B1932" t="s">
        <v>8</v>
      </c>
      <c r="C1932" t="s">
        <v>50</v>
      </c>
      <c r="D1932">
        <v>0.16666666666666666</v>
      </c>
      <c r="E1932">
        <v>0.83333333333333337</v>
      </c>
      <c r="F1932">
        <v>313.14999999999998</v>
      </c>
      <c r="G1932">
        <v>58.8</v>
      </c>
      <c r="H1932">
        <f t="shared" si="120"/>
        <v>-6.03</v>
      </c>
      <c r="I1932">
        <v>2.4054939786195095E-3</v>
      </c>
      <c r="J1932" t="str">
        <f t="shared" si="121"/>
        <v>CC[NH2+]CC.[Cl-]COC1=CC=CC=C1O</v>
      </c>
      <c r="K1932">
        <v>62</v>
      </c>
      <c r="M1932">
        <f t="shared" si="122"/>
        <v>5.4037971934950142E-2</v>
      </c>
      <c r="N1932">
        <f t="shared" si="123"/>
        <v>-0.58847292276019481</v>
      </c>
    </row>
    <row r="1933" spans="1:14" x14ac:dyDescent="0.35">
      <c r="A1933">
        <v>1931</v>
      </c>
      <c r="B1933" t="s">
        <v>8</v>
      </c>
      <c r="C1933" t="s">
        <v>50</v>
      </c>
      <c r="D1933">
        <v>0.16666666666666666</v>
      </c>
      <c r="E1933">
        <v>0.83333333333333337</v>
      </c>
      <c r="F1933">
        <v>313.14999999999998</v>
      </c>
      <c r="G1933">
        <v>156</v>
      </c>
      <c r="H1933">
        <f t="shared" si="120"/>
        <v>-5.08</v>
      </c>
      <c r="I1933">
        <v>6.2199090159425728E-3</v>
      </c>
      <c r="J1933" t="str">
        <f t="shared" si="121"/>
        <v>CC[NH2+]CC.[Cl-]COC1=CC=CC=C1O</v>
      </c>
      <c r="K1933">
        <v>62</v>
      </c>
      <c r="M1933">
        <f t="shared" si="122"/>
        <v>5.4037971934950142E-2</v>
      </c>
      <c r="N1933">
        <f t="shared" si="123"/>
        <v>-0.53411037306309039</v>
      </c>
    </row>
    <row r="1934" spans="1:14" x14ac:dyDescent="0.35">
      <c r="A1934">
        <v>1932</v>
      </c>
      <c r="B1934" t="s">
        <v>8</v>
      </c>
      <c r="C1934" t="s">
        <v>50</v>
      </c>
      <c r="D1934">
        <v>0.16666666666666666</v>
      </c>
      <c r="E1934">
        <v>0.83333333333333337</v>
      </c>
      <c r="F1934">
        <v>313.14999999999998</v>
      </c>
      <c r="G1934">
        <v>273.60000000000002</v>
      </c>
      <c r="H1934">
        <f t="shared" si="120"/>
        <v>-4.5199999999999996</v>
      </c>
      <c r="I1934">
        <v>1.0889023668554451E-2</v>
      </c>
      <c r="J1934" t="str">
        <f t="shared" si="121"/>
        <v>CC[NH2+]CC.[Cl-]COC1=CC=CC=C1O</v>
      </c>
      <c r="K1934">
        <v>62</v>
      </c>
      <c r="M1934">
        <f t="shared" si="122"/>
        <v>5.4037971934950142E-2</v>
      </c>
      <c r="N1934">
        <f t="shared" si="123"/>
        <v>-0.46833839935548266</v>
      </c>
    </row>
    <row r="1935" spans="1:14" x14ac:dyDescent="0.35">
      <c r="A1935">
        <v>1933</v>
      </c>
      <c r="B1935" t="s">
        <v>8</v>
      </c>
      <c r="C1935" t="s">
        <v>50</v>
      </c>
      <c r="D1935">
        <v>0.16666666666666666</v>
      </c>
      <c r="E1935">
        <v>0.83333333333333337</v>
      </c>
      <c r="F1935">
        <v>313.14999999999998</v>
      </c>
      <c r="G1935">
        <v>336.3</v>
      </c>
      <c r="H1935">
        <f t="shared" si="120"/>
        <v>-4.32</v>
      </c>
      <c r="I1935">
        <v>1.3299883542443767E-2</v>
      </c>
      <c r="J1935" t="str">
        <f t="shared" si="121"/>
        <v>CC[NH2+]CC.[Cl-]COC1=CC=CC=C1O</v>
      </c>
      <c r="K1935">
        <v>62</v>
      </c>
      <c r="M1935">
        <f t="shared" si="122"/>
        <v>5.4037971934950142E-2</v>
      </c>
      <c r="N1935">
        <f t="shared" si="123"/>
        <v>-0.43327119908790607</v>
      </c>
    </row>
    <row r="1936" spans="1:14" x14ac:dyDescent="0.35">
      <c r="A1936">
        <v>1934</v>
      </c>
      <c r="B1936" t="s">
        <v>8</v>
      </c>
      <c r="C1936" t="s">
        <v>50</v>
      </c>
      <c r="D1936">
        <v>0.16666666666666666</v>
      </c>
      <c r="E1936">
        <v>0.83333333333333337</v>
      </c>
      <c r="F1936">
        <v>313.14999999999998</v>
      </c>
      <c r="G1936">
        <v>428.6</v>
      </c>
      <c r="H1936">
        <f t="shared" si="120"/>
        <v>-4.0745419349259206</v>
      </c>
      <c r="I1936">
        <v>1.7000000000000001E-2</v>
      </c>
      <c r="J1936" t="str">
        <f t="shared" si="121"/>
        <v>CC[NH2+]CC.[Cl-]COC1=CC=CC=C1O</v>
      </c>
      <c r="K1936">
        <v>62</v>
      </c>
      <c r="M1936">
        <f t="shared" si="122"/>
        <v>5.4037971934950142E-2</v>
      </c>
      <c r="N1936">
        <f t="shared" si="123"/>
        <v>-0.38164914829528529</v>
      </c>
    </row>
    <row r="1937" spans="1:14" x14ac:dyDescent="0.35">
      <c r="A1937">
        <v>1935</v>
      </c>
      <c r="B1937" t="s">
        <v>8</v>
      </c>
      <c r="C1937" t="s">
        <v>50</v>
      </c>
      <c r="D1937">
        <v>0.16666666666666666</v>
      </c>
      <c r="E1937">
        <v>0.83333333333333337</v>
      </c>
      <c r="F1937">
        <v>313.14999999999998</v>
      </c>
      <c r="G1937">
        <v>550.70000000000005</v>
      </c>
      <c r="H1937">
        <f t="shared" si="120"/>
        <v>-3.82</v>
      </c>
      <c r="I1937">
        <v>2.192780089426162E-2</v>
      </c>
      <c r="J1937" t="str">
        <f t="shared" si="121"/>
        <v>CC[NH2+]CC.[Cl-]COC1=CC=CC=C1O</v>
      </c>
      <c r="K1937">
        <v>62</v>
      </c>
      <c r="M1937">
        <f t="shared" si="122"/>
        <v>5.4037971934950142E-2</v>
      </c>
      <c r="N1937">
        <f t="shared" si="123"/>
        <v>-0.31336038987947823</v>
      </c>
    </row>
    <row r="1938" spans="1:14" x14ac:dyDescent="0.35">
      <c r="A1938">
        <v>1936</v>
      </c>
      <c r="B1938" t="s">
        <v>8</v>
      </c>
      <c r="C1938" t="s">
        <v>50</v>
      </c>
      <c r="D1938">
        <v>0.16666666666666666</v>
      </c>
      <c r="E1938">
        <v>0.83333333333333337</v>
      </c>
      <c r="F1938">
        <v>323.14999999999998</v>
      </c>
      <c r="G1938">
        <v>59.9</v>
      </c>
      <c r="H1938">
        <f t="shared" si="120"/>
        <v>-6.21</v>
      </c>
      <c r="I1938">
        <v>2.0092374640700602E-3</v>
      </c>
      <c r="J1938" t="str">
        <f t="shared" si="121"/>
        <v>CC[NH2+]CC.[Cl-]COC1=CC=CC=C1O</v>
      </c>
      <c r="K1938">
        <v>62</v>
      </c>
      <c r="M1938">
        <f t="shared" si="122"/>
        <v>0.83775464848239545</v>
      </c>
      <c r="N1938">
        <f t="shared" si="123"/>
        <v>-0.58785770872041276</v>
      </c>
    </row>
    <row r="1939" spans="1:14" x14ac:dyDescent="0.35">
      <c r="A1939">
        <v>1937</v>
      </c>
      <c r="B1939" t="s">
        <v>8</v>
      </c>
      <c r="C1939" t="s">
        <v>50</v>
      </c>
      <c r="D1939">
        <v>0.16666666666666666</v>
      </c>
      <c r="E1939">
        <v>0.83333333333333337</v>
      </c>
      <c r="F1939">
        <v>323.14999999999998</v>
      </c>
      <c r="G1939">
        <v>193.1</v>
      </c>
      <c r="H1939">
        <f t="shared" si="120"/>
        <v>-4.99</v>
      </c>
      <c r="I1939">
        <v>6.8056644922305431E-3</v>
      </c>
      <c r="J1939" t="str">
        <f t="shared" si="121"/>
        <v>CC[NH2+]CC.[Cl-]COC1=CC=CC=C1O</v>
      </c>
      <c r="K1939">
        <v>62</v>
      </c>
      <c r="M1939">
        <f t="shared" si="122"/>
        <v>0.83775464848239545</v>
      </c>
      <c r="N1939">
        <f t="shared" si="123"/>
        <v>-0.51336088135771418</v>
      </c>
    </row>
    <row r="1940" spans="1:14" x14ac:dyDescent="0.35">
      <c r="A1940">
        <v>1938</v>
      </c>
      <c r="B1940" t="s">
        <v>8</v>
      </c>
      <c r="C1940" t="s">
        <v>50</v>
      </c>
      <c r="D1940">
        <v>0.16666666666666666</v>
      </c>
      <c r="E1940">
        <v>0.83333333333333337</v>
      </c>
      <c r="F1940">
        <v>323.14999999999998</v>
      </c>
      <c r="G1940">
        <v>253.3</v>
      </c>
      <c r="H1940">
        <f t="shared" si="120"/>
        <v>-4.7300000000000004</v>
      </c>
      <c r="I1940">
        <v>8.8264710397267226E-3</v>
      </c>
      <c r="J1940" t="str">
        <f t="shared" si="121"/>
        <v>CC[NH2+]CC.[Cl-]COC1=CC=CC=C1O</v>
      </c>
      <c r="K1940">
        <v>62</v>
      </c>
      <c r="M1940">
        <f t="shared" si="122"/>
        <v>0.83775464848239545</v>
      </c>
      <c r="N1940">
        <f t="shared" si="123"/>
        <v>-0.47969189481691499</v>
      </c>
    </row>
    <row r="1941" spans="1:14" x14ac:dyDescent="0.35">
      <c r="A1941">
        <v>1939</v>
      </c>
      <c r="B1941" t="s">
        <v>8</v>
      </c>
      <c r="C1941" t="s">
        <v>50</v>
      </c>
      <c r="D1941">
        <v>0.16666666666666666</v>
      </c>
      <c r="E1941">
        <v>0.83333333333333337</v>
      </c>
      <c r="F1941">
        <v>323.14999999999998</v>
      </c>
      <c r="G1941">
        <v>333.8</v>
      </c>
      <c r="H1941">
        <f t="shared" si="120"/>
        <v>-4.45</v>
      </c>
      <c r="I1941">
        <v>1.1678566970395442E-2</v>
      </c>
      <c r="J1941" t="str">
        <f t="shared" si="121"/>
        <v>CC[NH2+]CC.[Cl-]COC1=CC=CC=C1O</v>
      </c>
      <c r="K1941">
        <v>62</v>
      </c>
      <c r="M1941">
        <f t="shared" si="122"/>
        <v>0.83775464848239545</v>
      </c>
      <c r="N1941">
        <f t="shared" si="123"/>
        <v>-0.43466941281468346</v>
      </c>
    </row>
    <row r="1942" spans="1:14" x14ac:dyDescent="0.35">
      <c r="A1942">
        <v>1940</v>
      </c>
      <c r="B1942" t="s">
        <v>8</v>
      </c>
      <c r="C1942" t="s">
        <v>50</v>
      </c>
      <c r="D1942">
        <v>0.16666666666666666</v>
      </c>
      <c r="E1942">
        <v>0.83333333333333337</v>
      </c>
      <c r="F1942">
        <v>323.14999999999998</v>
      </c>
      <c r="G1942">
        <v>431.5</v>
      </c>
      <c r="H1942">
        <f t="shared" si="120"/>
        <v>-4.1864598511299063</v>
      </c>
      <c r="I1942">
        <v>1.52E-2</v>
      </c>
      <c r="J1942" t="str">
        <f t="shared" si="121"/>
        <v>CC[NH2+]CC.[Cl-]COC1=CC=CC=C1O</v>
      </c>
      <c r="K1942">
        <v>62</v>
      </c>
      <c r="M1942">
        <f t="shared" si="122"/>
        <v>0.83775464848239545</v>
      </c>
      <c r="N1942">
        <f t="shared" si="123"/>
        <v>-0.38002722037222358</v>
      </c>
    </row>
    <row r="1943" spans="1:14" x14ac:dyDescent="0.35">
      <c r="A1943">
        <v>1941</v>
      </c>
      <c r="B1943" t="s">
        <v>8</v>
      </c>
      <c r="C1943" t="s">
        <v>50</v>
      </c>
      <c r="D1943">
        <v>0.16666666666666666</v>
      </c>
      <c r="E1943">
        <v>0.83333333333333337</v>
      </c>
      <c r="F1943">
        <v>323.14999999999998</v>
      </c>
      <c r="G1943">
        <v>535.79999999999995</v>
      </c>
      <c r="H1943">
        <f t="shared" si="120"/>
        <v>-3.9633162998156966</v>
      </c>
      <c r="I1943">
        <v>1.9E-2</v>
      </c>
      <c r="J1943" t="str">
        <f t="shared" si="121"/>
        <v>CC[NH2+]CC.[Cl-]COC1=CC=CC=C1O</v>
      </c>
      <c r="K1943">
        <v>62</v>
      </c>
      <c r="M1943">
        <f t="shared" si="122"/>
        <v>0.83775464848239545</v>
      </c>
      <c r="N1943">
        <f t="shared" si="123"/>
        <v>-0.32169374369107145</v>
      </c>
    </row>
    <row r="1944" spans="1:14" x14ac:dyDescent="0.35">
      <c r="A1944">
        <v>1942</v>
      </c>
      <c r="B1944" t="s">
        <v>2</v>
      </c>
      <c r="C1944" t="s">
        <v>50</v>
      </c>
      <c r="D1944">
        <v>0.16666666666666666</v>
      </c>
      <c r="E1944">
        <v>0.83333333333333337</v>
      </c>
      <c r="F1944">
        <v>293.14999999999998</v>
      </c>
      <c r="G1944">
        <v>49.3</v>
      </c>
      <c r="H1944">
        <f t="shared" si="120"/>
        <v>-6.07</v>
      </c>
      <c r="I1944">
        <v>2.3111732106021292E-3</v>
      </c>
      <c r="J1944" t="str">
        <f t="shared" si="121"/>
        <v>CC(=O)OCC[N+](C)(C)C.[Cl-]COC1=CC=CC=C1O</v>
      </c>
      <c r="K1944">
        <v>13</v>
      </c>
      <c r="M1944">
        <f t="shared" si="122"/>
        <v>-1.5133953811599403</v>
      </c>
      <c r="N1944">
        <f t="shared" si="123"/>
        <v>-0.59378613492194887</v>
      </c>
    </row>
    <row r="1945" spans="1:14" x14ac:dyDescent="0.35">
      <c r="A1945">
        <v>1943</v>
      </c>
      <c r="B1945" t="s">
        <v>2</v>
      </c>
      <c r="C1945" t="s">
        <v>50</v>
      </c>
      <c r="D1945">
        <v>0.16666666666666666</v>
      </c>
      <c r="E1945">
        <v>0.83333333333333337</v>
      </c>
      <c r="F1945">
        <v>293.14999999999998</v>
      </c>
      <c r="G1945">
        <v>137.30000000000001</v>
      </c>
      <c r="H1945">
        <f t="shared" si="120"/>
        <v>-5.04</v>
      </c>
      <c r="I1945">
        <v>6.4737483182894049E-3</v>
      </c>
      <c r="J1945" t="str">
        <f t="shared" si="121"/>
        <v>CC(=O)OCC[N+](C)(C)C.[Cl-]COC1=CC=CC=C1O</v>
      </c>
      <c r="K1945">
        <v>13</v>
      </c>
      <c r="M1945">
        <f t="shared" si="122"/>
        <v>-1.5133953811599403</v>
      </c>
      <c r="N1945">
        <f t="shared" si="123"/>
        <v>-0.54456901173938521</v>
      </c>
    </row>
    <row r="1946" spans="1:14" x14ac:dyDescent="0.35">
      <c r="A1946">
        <v>1944</v>
      </c>
      <c r="B1946" t="s">
        <v>2</v>
      </c>
      <c r="C1946" t="s">
        <v>50</v>
      </c>
      <c r="D1946">
        <v>0.16666666666666666</v>
      </c>
      <c r="E1946">
        <v>0.83333333333333337</v>
      </c>
      <c r="F1946">
        <v>293.14999999999998</v>
      </c>
      <c r="G1946">
        <v>230</v>
      </c>
      <c r="H1946">
        <f t="shared" si="120"/>
        <v>-4.49</v>
      </c>
      <c r="I1946">
        <v>1.1220643809589084E-2</v>
      </c>
      <c r="J1946" t="str">
        <f t="shared" si="121"/>
        <v>CC(=O)OCC[N+](C)(C)C.[Cl-]COC1=CC=CC=C1O</v>
      </c>
      <c r="K1946">
        <v>13</v>
      </c>
      <c r="M1946">
        <f t="shared" si="122"/>
        <v>-1.5133953811599403</v>
      </c>
      <c r="N1946">
        <f t="shared" si="123"/>
        <v>-0.49272324675048007</v>
      </c>
    </row>
    <row r="1947" spans="1:14" x14ac:dyDescent="0.35">
      <c r="A1947">
        <v>1945</v>
      </c>
      <c r="B1947" t="s">
        <v>2</v>
      </c>
      <c r="C1947" t="s">
        <v>50</v>
      </c>
      <c r="D1947">
        <v>0.16666666666666666</v>
      </c>
      <c r="E1947">
        <v>0.83333333333333337</v>
      </c>
      <c r="F1947">
        <v>293.14999999999998</v>
      </c>
      <c r="G1947">
        <v>325.5</v>
      </c>
      <c r="H1947">
        <f t="shared" si="120"/>
        <v>-4.1351665567423561</v>
      </c>
      <c r="I1947">
        <v>1.6E-2</v>
      </c>
      <c r="J1947" t="str">
        <f t="shared" si="121"/>
        <v>CC(=O)OCC[N+](C)(C)C.[Cl-]COC1=CC=CC=C1O</v>
      </c>
      <c r="K1947">
        <v>13</v>
      </c>
      <c r="M1947">
        <f t="shared" si="122"/>
        <v>-1.5133953811599403</v>
      </c>
      <c r="N1947">
        <f t="shared" si="123"/>
        <v>-0.43931148238758433</v>
      </c>
    </row>
    <row r="1948" spans="1:14" x14ac:dyDescent="0.35">
      <c r="A1948">
        <v>1946</v>
      </c>
      <c r="B1948" t="s">
        <v>2</v>
      </c>
      <c r="C1948" t="s">
        <v>50</v>
      </c>
      <c r="D1948">
        <v>0.16666666666666666</v>
      </c>
      <c r="E1948">
        <v>0.83333333333333337</v>
      </c>
      <c r="F1948">
        <v>293.14999999999998</v>
      </c>
      <c r="G1948">
        <v>421.7</v>
      </c>
      <c r="H1948">
        <f t="shared" si="120"/>
        <v>-3.8728022922748648</v>
      </c>
      <c r="I1948">
        <v>2.0799999999999999E-2</v>
      </c>
      <c r="J1948" t="str">
        <f t="shared" si="121"/>
        <v>CC(=O)OCC[N+](C)(C)C.[Cl-]COC1=CC=CC=C1O</v>
      </c>
      <c r="K1948">
        <v>13</v>
      </c>
      <c r="M1948">
        <f t="shared" si="122"/>
        <v>-1.5133953811599403</v>
      </c>
      <c r="N1948">
        <f t="shared" si="123"/>
        <v>-0.38550821818119085</v>
      </c>
    </row>
    <row r="1949" spans="1:14" x14ac:dyDescent="0.35">
      <c r="A1949">
        <v>1947</v>
      </c>
      <c r="B1949" t="s">
        <v>2</v>
      </c>
      <c r="C1949" t="s">
        <v>50</v>
      </c>
      <c r="D1949">
        <v>0.16666666666666666</v>
      </c>
      <c r="E1949">
        <v>0.83333333333333337</v>
      </c>
      <c r="F1949">
        <v>293.14999999999998</v>
      </c>
      <c r="G1949">
        <v>522.20000000000005</v>
      </c>
      <c r="H1949">
        <f t="shared" si="120"/>
        <v>-3.67</v>
      </c>
      <c r="I1949">
        <v>2.5476469946681016E-2</v>
      </c>
      <c r="J1949" t="str">
        <f t="shared" si="121"/>
        <v>CC(=O)OCC[N+](C)(C)C.[Cl-]COC1=CC=CC=C1O</v>
      </c>
      <c r="K1949">
        <v>13</v>
      </c>
      <c r="M1949">
        <f t="shared" si="122"/>
        <v>-1.5133953811599403</v>
      </c>
      <c r="N1949">
        <f t="shared" si="123"/>
        <v>-0.32930002636474032</v>
      </c>
    </row>
    <row r="1950" spans="1:14" x14ac:dyDescent="0.35">
      <c r="A1950">
        <v>1948</v>
      </c>
      <c r="B1950" t="s">
        <v>2</v>
      </c>
      <c r="C1950" t="s">
        <v>50</v>
      </c>
      <c r="D1950">
        <v>0.16666666666666666</v>
      </c>
      <c r="E1950">
        <v>0.83333333333333337</v>
      </c>
      <c r="F1950">
        <v>303.14999999999998</v>
      </c>
      <c r="G1950">
        <v>52</v>
      </c>
      <c r="H1950">
        <f t="shared" si="120"/>
        <v>-6.07</v>
      </c>
      <c r="I1950">
        <v>2.3111732106021292E-3</v>
      </c>
      <c r="J1950" t="str">
        <f t="shared" si="121"/>
        <v>CC(=O)OCC[N+](C)(C)C.[Cl-]COC1=CC=CC=C1O</v>
      </c>
      <c r="K1950">
        <v>13</v>
      </c>
      <c r="M1950">
        <f t="shared" si="122"/>
        <v>-0.72967870461249518</v>
      </c>
      <c r="N1950">
        <f t="shared" si="123"/>
        <v>-0.59227606409702926</v>
      </c>
    </row>
    <row r="1951" spans="1:14" x14ac:dyDescent="0.35">
      <c r="A1951">
        <v>1949</v>
      </c>
      <c r="B1951" t="s">
        <v>2</v>
      </c>
      <c r="C1951" t="s">
        <v>50</v>
      </c>
      <c r="D1951">
        <v>0.16666666666666666</v>
      </c>
      <c r="E1951">
        <v>0.83333333333333337</v>
      </c>
      <c r="F1951">
        <v>303.14999999999998</v>
      </c>
      <c r="G1951">
        <v>138.80000000000001</v>
      </c>
      <c r="H1951">
        <f t="shared" si="120"/>
        <v>-5.13</v>
      </c>
      <c r="I1951">
        <v>5.9165604736818572E-3</v>
      </c>
      <c r="J1951" t="str">
        <f t="shared" si="121"/>
        <v>CC(=O)OCC[N+](C)(C)C.[Cl-]COC1=CC=CC=C1O</v>
      </c>
      <c r="K1951">
        <v>13</v>
      </c>
      <c r="M1951">
        <f t="shared" si="122"/>
        <v>-0.72967870461249518</v>
      </c>
      <c r="N1951">
        <f t="shared" si="123"/>
        <v>-0.54373008350331886</v>
      </c>
    </row>
    <row r="1952" spans="1:14" x14ac:dyDescent="0.35">
      <c r="A1952">
        <v>1950</v>
      </c>
      <c r="B1952" t="s">
        <v>2</v>
      </c>
      <c r="C1952" t="s">
        <v>50</v>
      </c>
      <c r="D1952">
        <v>0.16666666666666666</v>
      </c>
      <c r="E1952">
        <v>0.83333333333333337</v>
      </c>
      <c r="F1952">
        <v>303.14999999999998</v>
      </c>
      <c r="G1952">
        <v>222.9</v>
      </c>
      <c r="H1952">
        <f t="shared" si="120"/>
        <v>-4.66</v>
      </c>
      <c r="I1952">
        <v>9.4664624017103231E-3</v>
      </c>
      <c r="J1952" t="str">
        <f t="shared" si="121"/>
        <v>CC(=O)OCC[N+](C)(C)C.[Cl-]COC1=CC=CC=C1O</v>
      </c>
      <c r="K1952">
        <v>13</v>
      </c>
      <c r="M1952">
        <f t="shared" si="122"/>
        <v>-0.72967870461249518</v>
      </c>
      <c r="N1952">
        <f t="shared" si="123"/>
        <v>-0.49669417373452784</v>
      </c>
    </row>
    <row r="1953" spans="1:14" x14ac:dyDescent="0.35">
      <c r="A1953">
        <v>1951</v>
      </c>
      <c r="B1953" t="s">
        <v>2</v>
      </c>
      <c r="C1953" t="s">
        <v>50</v>
      </c>
      <c r="D1953">
        <v>0.16666666666666666</v>
      </c>
      <c r="E1953">
        <v>0.83333333333333337</v>
      </c>
      <c r="F1953">
        <v>303.14999999999998</v>
      </c>
      <c r="G1953">
        <v>333.2</v>
      </c>
      <c r="H1953">
        <f t="shared" si="120"/>
        <v>-4.25</v>
      </c>
      <c r="I1953">
        <v>1.4264233908999256E-2</v>
      </c>
      <c r="J1953" t="str">
        <f t="shared" si="121"/>
        <v>CC(=O)OCC[N+](C)(C)C.[Cl-]COC1=CC=CC=C1O</v>
      </c>
      <c r="K1953">
        <v>13</v>
      </c>
      <c r="M1953">
        <f t="shared" si="122"/>
        <v>-0.72967870461249518</v>
      </c>
      <c r="N1953">
        <f t="shared" si="123"/>
        <v>-0.43500498410910998</v>
      </c>
    </row>
    <row r="1954" spans="1:14" x14ac:dyDescent="0.35">
      <c r="A1954">
        <v>1952</v>
      </c>
      <c r="B1954" t="s">
        <v>2</v>
      </c>
      <c r="C1954" t="s">
        <v>50</v>
      </c>
      <c r="D1954">
        <v>0.16666666666666666</v>
      </c>
      <c r="E1954">
        <v>0.83333333333333337</v>
      </c>
      <c r="F1954">
        <v>303.14999999999998</v>
      </c>
      <c r="G1954">
        <v>428</v>
      </c>
      <c r="H1954">
        <f t="shared" si="120"/>
        <v>-3.9954046143671973</v>
      </c>
      <c r="I1954">
        <v>1.84E-2</v>
      </c>
      <c r="J1954" t="str">
        <f t="shared" si="121"/>
        <v>CC(=O)OCC[N+](C)(C)C.[Cl-]COC1=CC=CC=C1O</v>
      </c>
      <c r="K1954">
        <v>13</v>
      </c>
      <c r="M1954">
        <f t="shared" si="122"/>
        <v>-0.72967870461249518</v>
      </c>
      <c r="N1954">
        <f t="shared" si="123"/>
        <v>-0.38198471958971186</v>
      </c>
    </row>
    <row r="1955" spans="1:14" x14ac:dyDescent="0.35">
      <c r="A1955">
        <v>1953</v>
      </c>
      <c r="B1955" t="s">
        <v>2</v>
      </c>
      <c r="C1955" t="s">
        <v>50</v>
      </c>
      <c r="D1955">
        <v>0.16666666666666666</v>
      </c>
      <c r="E1955">
        <v>0.83333333333333337</v>
      </c>
      <c r="F1955">
        <v>303.14999999999998</v>
      </c>
      <c r="G1955">
        <v>528.20000000000005</v>
      </c>
      <c r="H1955">
        <f t="shared" si="120"/>
        <v>-3.79</v>
      </c>
      <c r="I1955">
        <v>2.2595601851121864E-2</v>
      </c>
      <c r="J1955" t="str">
        <f t="shared" si="121"/>
        <v>CC(=O)OCC[N+](C)(C)C.[Cl-]COC1=CC=CC=C1O</v>
      </c>
      <c r="K1955">
        <v>13</v>
      </c>
      <c r="M1955">
        <f t="shared" si="122"/>
        <v>-0.72967870461249518</v>
      </c>
      <c r="N1955">
        <f t="shared" si="123"/>
        <v>-0.32594431342047464</v>
      </c>
    </row>
    <row r="1956" spans="1:14" x14ac:dyDescent="0.35">
      <c r="A1956">
        <v>1954</v>
      </c>
      <c r="B1956" t="s">
        <v>2</v>
      </c>
      <c r="C1956" t="s">
        <v>50</v>
      </c>
      <c r="D1956">
        <v>0.16666666666666666</v>
      </c>
      <c r="E1956">
        <v>0.83333333333333337</v>
      </c>
      <c r="F1956">
        <v>313.14999999999998</v>
      </c>
      <c r="G1956">
        <v>49.9</v>
      </c>
      <c r="H1956">
        <f t="shared" si="120"/>
        <v>-6.38</v>
      </c>
      <c r="I1956">
        <v>1.6951229566232505E-3</v>
      </c>
      <c r="J1956" t="str">
        <f t="shared" si="121"/>
        <v>CC(=O)OCC[N+](C)(C)C.[Cl-]COC1=CC=CC=C1O</v>
      </c>
      <c r="K1956">
        <v>13</v>
      </c>
      <c r="M1956">
        <f t="shared" si="122"/>
        <v>5.4037971934950142E-2</v>
      </c>
      <c r="N1956">
        <f t="shared" si="123"/>
        <v>-0.59345056362752224</v>
      </c>
    </row>
    <row r="1957" spans="1:14" x14ac:dyDescent="0.35">
      <c r="A1957">
        <v>1955</v>
      </c>
      <c r="B1957" t="s">
        <v>2</v>
      </c>
      <c r="C1957" t="s">
        <v>50</v>
      </c>
      <c r="D1957">
        <v>0.16666666666666666</v>
      </c>
      <c r="E1957">
        <v>0.83333333333333337</v>
      </c>
      <c r="F1957">
        <v>313.14999999999998</v>
      </c>
      <c r="G1957">
        <v>145</v>
      </c>
      <c r="H1957">
        <f t="shared" si="120"/>
        <v>-5.22</v>
      </c>
      <c r="I1957">
        <v>5.4073291264409599E-3</v>
      </c>
      <c r="J1957" t="str">
        <f t="shared" si="121"/>
        <v>CC(=O)OCC[N+](C)(C)C.[Cl-]COC1=CC=CC=C1O</v>
      </c>
      <c r="K1957">
        <v>13</v>
      </c>
      <c r="M1957">
        <f t="shared" si="122"/>
        <v>5.4037971934950142E-2</v>
      </c>
      <c r="N1957">
        <f t="shared" si="123"/>
        <v>-0.54026251346091092</v>
      </c>
    </row>
    <row r="1958" spans="1:14" x14ac:dyDescent="0.35">
      <c r="A1958">
        <v>1956</v>
      </c>
      <c r="B1958" t="s">
        <v>2</v>
      </c>
      <c r="C1958" t="s">
        <v>50</v>
      </c>
      <c r="D1958">
        <v>0.16666666666666666</v>
      </c>
      <c r="E1958">
        <v>0.83333333333333337</v>
      </c>
      <c r="F1958">
        <v>313.14999999999998</v>
      </c>
      <c r="G1958">
        <v>237</v>
      </c>
      <c r="H1958">
        <f t="shared" si="120"/>
        <v>-4.7300000000000004</v>
      </c>
      <c r="I1958">
        <v>8.8264710397267226E-3</v>
      </c>
      <c r="J1958" t="str">
        <f t="shared" si="121"/>
        <v>CC(=O)OCC[N+](C)(C)C.[Cl-]COC1=CC=CC=C1O</v>
      </c>
      <c r="K1958">
        <v>13</v>
      </c>
      <c r="M1958">
        <f t="shared" si="122"/>
        <v>5.4037971934950142E-2</v>
      </c>
      <c r="N1958">
        <f t="shared" si="123"/>
        <v>-0.48880824831550346</v>
      </c>
    </row>
    <row r="1959" spans="1:14" x14ac:dyDescent="0.35">
      <c r="A1959">
        <v>1957</v>
      </c>
      <c r="B1959" t="s">
        <v>2</v>
      </c>
      <c r="C1959" t="s">
        <v>50</v>
      </c>
      <c r="D1959">
        <v>0.16666666666666666</v>
      </c>
      <c r="E1959">
        <v>0.83333333333333337</v>
      </c>
      <c r="F1959">
        <v>313.14999999999998</v>
      </c>
      <c r="G1959">
        <v>335.1</v>
      </c>
      <c r="H1959">
        <f t="shared" si="120"/>
        <v>-4.3899999999999997</v>
      </c>
      <c r="I1959">
        <v>1.2400729220443406E-2</v>
      </c>
      <c r="J1959" t="str">
        <f t="shared" si="121"/>
        <v>CC(=O)OCC[N+](C)(C)C.[Cl-]COC1=CC=CC=C1O</v>
      </c>
      <c r="K1959">
        <v>13</v>
      </c>
      <c r="M1959">
        <f t="shared" si="122"/>
        <v>5.4037971934950142E-2</v>
      </c>
      <c r="N1959">
        <f t="shared" si="123"/>
        <v>-0.43394234167675916</v>
      </c>
    </row>
    <row r="1960" spans="1:14" x14ac:dyDescent="0.35">
      <c r="A1960">
        <v>1958</v>
      </c>
      <c r="B1960" t="s">
        <v>2</v>
      </c>
      <c r="C1960" t="s">
        <v>50</v>
      </c>
      <c r="D1960">
        <v>0.16666666666666666</v>
      </c>
      <c r="E1960">
        <v>0.83333333333333337</v>
      </c>
      <c r="F1960">
        <v>313.14999999999998</v>
      </c>
      <c r="G1960">
        <v>432.8</v>
      </c>
      <c r="H1960">
        <f t="shared" si="120"/>
        <v>-4.13</v>
      </c>
      <c r="I1960">
        <v>1.6082878822588433E-2</v>
      </c>
      <c r="J1960" t="str">
        <f t="shared" si="121"/>
        <v>CC(=O)OCC[N+](C)(C)C.[Cl-]COC1=CC=CC=C1O</v>
      </c>
      <c r="K1960">
        <v>13</v>
      </c>
      <c r="M1960">
        <f t="shared" si="122"/>
        <v>5.4037971934950142E-2</v>
      </c>
      <c r="N1960">
        <f t="shared" si="123"/>
        <v>-0.37930014923429933</v>
      </c>
    </row>
    <row r="1961" spans="1:14" x14ac:dyDescent="0.35">
      <c r="A1961">
        <v>1959</v>
      </c>
      <c r="B1961" t="s">
        <v>2</v>
      </c>
      <c r="C1961" t="s">
        <v>50</v>
      </c>
      <c r="D1961">
        <v>0.16666666666666666</v>
      </c>
      <c r="E1961">
        <v>0.83333333333333337</v>
      </c>
      <c r="F1961">
        <v>313.14999999999998</v>
      </c>
      <c r="G1961">
        <v>526.5</v>
      </c>
      <c r="H1961">
        <f t="shared" si="120"/>
        <v>-3.9373408134124359</v>
      </c>
      <c r="I1961">
        <v>1.95E-2</v>
      </c>
      <c r="J1961" t="str">
        <f t="shared" si="121"/>
        <v>CC(=O)OCC[N+](C)(C)C.[Cl-]COC1=CC=CC=C1O</v>
      </c>
      <c r="K1961">
        <v>13</v>
      </c>
      <c r="M1961">
        <f t="shared" si="122"/>
        <v>5.4037971934950142E-2</v>
      </c>
      <c r="N1961">
        <f t="shared" si="123"/>
        <v>-0.32689509875468326</v>
      </c>
    </row>
    <row r="1962" spans="1:14" x14ac:dyDescent="0.35">
      <c r="A1962">
        <v>1960</v>
      </c>
      <c r="B1962" t="s">
        <v>2</v>
      </c>
      <c r="C1962" t="s">
        <v>50</v>
      </c>
      <c r="D1962">
        <v>0.16666666666666666</v>
      </c>
      <c r="E1962">
        <v>0.83333333333333337</v>
      </c>
      <c r="F1962">
        <v>323.14999999999998</v>
      </c>
      <c r="G1962">
        <v>48.6</v>
      </c>
      <c r="H1962">
        <f t="shared" si="120"/>
        <v>-6.44</v>
      </c>
      <c r="I1962">
        <v>1.5964066806122474E-3</v>
      </c>
      <c r="J1962" t="str">
        <f t="shared" si="121"/>
        <v>CC(=O)OCC[N+](C)(C)C.[Cl-]COC1=CC=CC=C1O</v>
      </c>
      <c r="K1962">
        <v>13</v>
      </c>
      <c r="M1962">
        <f t="shared" si="122"/>
        <v>0.83775464848239545</v>
      </c>
      <c r="N1962">
        <f t="shared" si="123"/>
        <v>-0.59417763476544661</v>
      </c>
    </row>
    <row r="1963" spans="1:14" x14ac:dyDescent="0.35">
      <c r="A1963">
        <v>1961</v>
      </c>
      <c r="B1963" t="s">
        <v>2</v>
      </c>
      <c r="C1963" t="s">
        <v>50</v>
      </c>
      <c r="D1963">
        <v>0.16666666666666666</v>
      </c>
      <c r="E1963">
        <v>0.83333333333333337</v>
      </c>
      <c r="F1963">
        <v>323.14999999999998</v>
      </c>
      <c r="G1963">
        <v>144.30000000000001</v>
      </c>
      <c r="H1963">
        <f t="shared" si="120"/>
        <v>-5.34</v>
      </c>
      <c r="I1963">
        <v>4.7958707102964213E-3</v>
      </c>
      <c r="J1963" t="str">
        <f t="shared" si="121"/>
        <v>CC(=O)OCC[N+](C)(C)C.[Cl-]COC1=CC=CC=C1O</v>
      </c>
      <c r="K1963">
        <v>13</v>
      </c>
      <c r="M1963">
        <f t="shared" si="122"/>
        <v>0.83775464848239545</v>
      </c>
      <c r="N1963">
        <f t="shared" si="123"/>
        <v>-0.54065401330440854</v>
      </c>
    </row>
    <row r="1964" spans="1:14" x14ac:dyDescent="0.35">
      <c r="A1964">
        <v>1962</v>
      </c>
      <c r="B1964" t="s">
        <v>2</v>
      </c>
      <c r="C1964" t="s">
        <v>50</v>
      </c>
      <c r="D1964">
        <v>0.16666666666666666</v>
      </c>
      <c r="E1964">
        <v>0.83333333333333337</v>
      </c>
      <c r="F1964">
        <v>323.14999999999998</v>
      </c>
      <c r="G1964">
        <v>238.7</v>
      </c>
      <c r="H1964">
        <f t="shared" si="120"/>
        <v>-4.8499999999999996</v>
      </c>
      <c r="I1964">
        <v>7.8283775492257734E-3</v>
      </c>
      <c r="J1964" t="str">
        <f t="shared" si="121"/>
        <v>CC(=O)OCC[N+](C)(C)C.[Cl-]COC1=CC=CC=C1O</v>
      </c>
      <c r="K1964">
        <v>13</v>
      </c>
      <c r="M1964">
        <f t="shared" si="122"/>
        <v>0.83775464848239545</v>
      </c>
      <c r="N1964">
        <f t="shared" si="123"/>
        <v>-0.48785746298129479</v>
      </c>
    </row>
    <row r="1965" spans="1:14" x14ac:dyDescent="0.35">
      <c r="A1965">
        <v>1963</v>
      </c>
      <c r="B1965" t="s">
        <v>2</v>
      </c>
      <c r="C1965" t="s">
        <v>50</v>
      </c>
      <c r="D1965">
        <v>0.16666666666666666</v>
      </c>
      <c r="E1965">
        <v>0.83333333333333337</v>
      </c>
      <c r="F1965">
        <v>323.14999999999998</v>
      </c>
      <c r="G1965">
        <v>341.3</v>
      </c>
      <c r="H1965">
        <f t="shared" si="120"/>
        <v>-4.49</v>
      </c>
      <c r="I1965">
        <v>1.1220643809589084E-2</v>
      </c>
      <c r="J1965" t="str">
        <f t="shared" si="121"/>
        <v>CC(=O)OCC[N+](C)(C)C.[Cl-]COC1=CC=CC=C1O</v>
      </c>
      <c r="K1965">
        <v>13</v>
      </c>
      <c r="M1965">
        <f t="shared" si="122"/>
        <v>0.83775464848239545</v>
      </c>
      <c r="N1965">
        <f t="shared" si="123"/>
        <v>-0.43047477163435133</v>
      </c>
    </row>
    <row r="1966" spans="1:14" x14ac:dyDescent="0.35">
      <c r="A1966">
        <v>1964</v>
      </c>
      <c r="B1966" t="s">
        <v>2</v>
      </c>
      <c r="C1966" t="s">
        <v>50</v>
      </c>
      <c r="D1966">
        <v>0.16666666666666666</v>
      </c>
      <c r="E1966">
        <v>0.83333333333333337</v>
      </c>
      <c r="F1966">
        <v>323.14999999999998</v>
      </c>
      <c r="G1966">
        <v>436.2</v>
      </c>
      <c r="H1966">
        <f t="shared" si="120"/>
        <v>-4.2300000000000004</v>
      </c>
      <c r="I1966">
        <v>1.4552390548416123E-2</v>
      </c>
      <c r="J1966" t="str">
        <f t="shared" si="121"/>
        <v>CC(=O)OCC[N+](C)(C)C.[Cl-]COC1=CC=CC=C1O</v>
      </c>
      <c r="K1966">
        <v>13</v>
      </c>
      <c r="M1966">
        <f t="shared" si="122"/>
        <v>0.83775464848239545</v>
      </c>
      <c r="N1966">
        <f t="shared" si="123"/>
        <v>-0.37739857856588205</v>
      </c>
    </row>
    <row r="1967" spans="1:14" x14ac:dyDescent="0.35">
      <c r="A1967">
        <v>1965</v>
      </c>
      <c r="B1967" t="s">
        <v>2</v>
      </c>
      <c r="C1967" t="s">
        <v>50</v>
      </c>
      <c r="D1967">
        <v>0.16666666666666666</v>
      </c>
      <c r="E1967">
        <v>0.83333333333333337</v>
      </c>
      <c r="F1967">
        <v>323.14999999999998</v>
      </c>
      <c r="G1967">
        <v>535.79999999999995</v>
      </c>
      <c r="H1967">
        <f t="shared" si="120"/>
        <v>-4.0229545661354278</v>
      </c>
      <c r="I1967">
        <v>1.7899999999999999E-2</v>
      </c>
      <c r="J1967" t="str">
        <f t="shared" si="121"/>
        <v>CC(=O)OCC[N+](C)(C)C.[Cl-]COC1=CC=CC=C1O</v>
      </c>
      <c r="K1967">
        <v>13</v>
      </c>
      <c r="M1967">
        <f t="shared" si="122"/>
        <v>0.83775464848239545</v>
      </c>
      <c r="N1967">
        <f t="shared" si="123"/>
        <v>-0.32169374369107145</v>
      </c>
    </row>
    <row r="1968" spans="1:14" x14ac:dyDescent="0.35">
      <c r="A1968">
        <v>1966</v>
      </c>
      <c r="B1968" t="s">
        <v>7</v>
      </c>
      <c r="C1968" t="s">
        <v>49</v>
      </c>
      <c r="D1968">
        <v>0.16666666666666666</v>
      </c>
      <c r="E1968">
        <v>0.83333333333333337</v>
      </c>
      <c r="F1968">
        <v>303.14999999999998</v>
      </c>
      <c r="G1968">
        <v>77.3</v>
      </c>
      <c r="H1968">
        <f t="shared" si="120"/>
        <v>-5.7763531674910364</v>
      </c>
      <c r="I1968">
        <v>3.0999999999999999E-3</v>
      </c>
      <c r="J1968" t="str">
        <f t="shared" si="121"/>
        <v>C[N+](C)(C)CCO.[Cl-]C1=COC(=C1)CO</v>
      </c>
      <c r="K1968">
        <v>85</v>
      </c>
      <c r="M1968">
        <f t="shared" si="122"/>
        <v>-0.72967870461249518</v>
      </c>
      <c r="N1968">
        <f t="shared" si="123"/>
        <v>-0.57812614118204231</v>
      </c>
    </row>
    <row r="1969" spans="1:14" x14ac:dyDescent="0.35">
      <c r="A1969">
        <v>1967</v>
      </c>
      <c r="B1969" t="s">
        <v>7</v>
      </c>
      <c r="C1969" t="s">
        <v>49</v>
      </c>
      <c r="D1969">
        <v>0.16666666666666666</v>
      </c>
      <c r="E1969">
        <v>0.83333333333333337</v>
      </c>
      <c r="F1969">
        <v>303.14999999999998</v>
      </c>
      <c r="G1969">
        <v>210.2</v>
      </c>
      <c r="H1969">
        <f t="shared" si="120"/>
        <v>-4.7699999999999996</v>
      </c>
      <c r="I1969">
        <v>8.4803801599532685E-3</v>
      </c>
      <c r="J1969" t="str">
        <f t="shared" si="121"/>
        <v>C[N+](C)(C)CCO.[Cl-]C1=COC(=C1)CO</v>
      </c>
      <c r="K1969">
        <v>85</v>
      </c>
      <c r="M1969">
        <f t="shared" si="122"/>
        <v>-0.72967870461249518</v>
      </c>
      <c r="N1969">
        <f t="shared" si="123"/>
        <v>-0.50379709946655693</v>
      </c>
    </row>
    <row r="1970" spans="1:14" x14ac:dyDescent="0.35">
      <c r="A1970">
        <v>1968</v>
      </c>
      <c r="B1970" t="s">
        <v>7</v>
      </c>
      <c r="C1970" t="s">
        <v>49</v>
      </c>
      <c r="D1970">
        <v>0.16666666666666666</v>
      </c>
      <c r="E1970">
        <v>0.83333333333333337</v>
      </c>
      <c r="F1970">
        <v>303.14999999999998</v>
      </c>
      <c r="G1970">
        <v>316.5</v>
      </c>
      <c r="H1970">
        <f t="shared" si="120"/>
        <v>-4.38</v>
      </c>
      <c r="I1970">
        <v>1.2525358621074385E-2</v>
      </c>
      <c r="J1970" t="str">
        <f t="shared" si="121"/>
        <v>C[N+](C)(C)CCO.[Cl-]C1=COC(=C1)CO</v>
      </c>
      <c r="K1970">
        <v>85</v>
      </c>
      <c r="M1970">
        <f t="shared" si="122"/>
        <v>-0.72967870461249518</v>
      </c>
      <c r="N1970">
        <f t="shared" si="123"/>
        <v>-0.44434505180398287</v>
      </c>
    </row>
    <row r="1971" spans="1:14" x14ac:dyDescent="0.35">
      <c r="A1971">
        <v>1969</v>
      </c>
      <c r="B1971" t="s">
        <v>7</v>
      </c>
      <c r="C1971" t="s">
        <v>49</v>
      </c>
      <c r="D1971">
        <v>0.16666666666666666</v>
      </c>
      <c r="E1971">
        <v>0.83333333333333337</v>
      </c>
      <c r="F1971">
        <v>303.14999999999998</v>
      </c>
      <c r="G1971">
        <v>414.7</v>
      </c>
      <c r="H1971">
        <f t="shared" si="120"/>
        <v>-4.09</v>
      </c>
      <c r="I1971">
        <v>1.6739233558580632E-2</v>
      </c>
      <c r="J1971" t="str">
        <f t="shared" si="121"/>
        <v>C[N+](C)(C)CCO.[Cl-]C1=COC(=C1)CO</v>
      </c>
      <c r="K1971">
        <v>85</v>
      </c>
      <c r="M1971">
        <f t="shared" si="122"/>
        <v>-0.72967870461249518</v>
      </c>
      <c r="N1971">
        <f t="shared" si="123"/>
        <v>-0.38942321661616752</v>
      </c>
    </row>
    <row r="1972" spans="1:14" x14ac:dyDescent="0.35">
      <c r="A1972">
        <v>1970</v>
      </c>
      <c r="B1972" t="s">
        <v>7</v>
      </c>
      <c r="C1972" t="s">
        <v>49</v>
      </c>
      <c r="D1972">
        <v>0.16666666666666666</v>
      </c>
      <c r="E1972">
        <v>0.83333333333333337</v>
      </c>
      <c r="F1972">
        <v>303.14999999999998</v>
      </c>
      <c r="G1972">
        <v>516.29999999999995</v>
      </c>
      <c r="H1972">
        <f t="shared" si="120"/>
        <v>-3.88</v>
      </c>
      <c r="I1972">
        <v>2.0650825181712566E-2</v>
      </c>
      <c r="J1972" t="str">
        <f t="shared" si="121"/>
        <v>C[N+](C)(C)CCO.[Cl-]C1=COC(=C1)CO</v>
      </c>
      <c r="K1972">
        <v>85</v>
      </c>
      <c r="M1972">
        <f t="shared" si="122"/>
        <v>-0.72967870461249518</v>
      </c>
      <c r="N1972">
        <f t="shared" si="123"/>
        <v>-0.332599810759935</v>
      </c>
    </row>
    <row r="1973" spans="1:14" x14ac:dyDescent="0.35">
      <c r="A1973">
        <v>1971</v>
      </c>
      <c r="B1973" t="s">
        <v>7</v>
      </c>
      <c r="C1973" t="s">
        <v>49</v>
      </c>
      <c r="D1973">
        <v>0.16666666666666666</v>
      </c>
      <c r="E1973">
        <v>0.83333333333333337</v>
      </c>
      <c r="F1973">
        <v>303.14999999999998</v>
      </c>
      <c r="G1973">
        <v>577.4</v>
      </c>
      <c r="H1973">
        <f t="shared" si="120"/>
        <v>-3.7550192566184815</v>
      </c>
      <c r="I1973">
        <v>2.3400000000000001E-2</v>
      </c>
      <c r="J1973" t="str">
        <f t="shared" si="121"/>
        <v>C[N+](C)(C)CCO.[Cl-]C1=COC(=C1)CO</v>
      </c>
      <c r="K1973">
        <v>85</v>
      </c>
      <c r="M1973">
        <f t="shared" si="122"/>
        <v>-0.72967870461249518</v>
      </c>
      <c r="N1973">
        <f t="shared" si="123"/>
        <v>-0.29842746727749592</v>
      </c>
    </row>
    <row r="1974" spans="1:14" x14ac:dyDescent="0.35">
      <c r="A1974">
        <v>1972</v>
      </c>
      <c r="B1974" t="s">
        <v>7</v>
      </c>
      <c r="C1974" t="s">
        <v>49</v>
      </c>
      <c r="D1974">
        <v>0.16666666666666666</v>
      </c>
      <c r="E1974">
        <v>0.83333333333333337</v>
      </c>
      <c r="F1974">
        <v>313.14999999999998</v>
      </c>
      <c r="G1974">
        <v>70.900000000000006</v>
      </c>
      <c r="H1974">
        <f t="shared" si="120"/>
        <v>-5.99</v>
      </c>
      <c r="I1974">
        <v>2.5036640502020999E-3</v>
      </c>
      <c r="J1974" t="str">
        <f t="shared" si="121"/>
        <v>C[N+](C)(C)CCO.[Cl-]C1=COC(=C1)CO</v>
      </c>
      <c r="K1974">
        <v>85</v>
      </c>
      <c r="M1974">
        <f t="shared" si="122"/>
        <v>5.4037971934950142E-2</v>
      </c>
      <c r="N1974">
        <f t="shared" si="123"/>
        <v>-0.58170556832259224</v>
      </c>
    </row>
    <row r="1975" spans="1:14" x14ac:dyDescent="0.35">
      <c r="A1975">
        <v>1973</v>
      </c>
      <c r="B1975" t="s">
        <v>7</v>
      </c>
      <c r="C1975" t="s">
        <v>49</v>
      </c>
      <c r="D1975">
        <v>0.16666666666666666</v>
      </c>
      <c r="E1975">
        <v>0.83333333333333337</v>
      </c>
      <c r="F1975">
        <v>313.14999999999998</v>
      </c>
      <c r="G1975">
        <v>203.4</v>
      </c>
      <c r="H1975">
        <f t="shared" si="120"/>
        <v>-4.95</v>
      </c>
      <c r="I1975">
        <v>7.0834089290521185E-3</v>
      </c>
      <c r="J1975" t="str">
        <f t="shared" si="121"/>
        <v>C[N+](C)(C)CCO.[Cl-]C1=COC(=C1)CO</v>
      </c>
      <c r="K1975">
        <v>85</v>
      </c>
      <c r="M1975">
        <f t="shared" si="122"/>
        <v>5.4037971934950142E-2</v>
      </c>
      <c r="N1975">
        <f t="shared" si="123"/>
        <v>-0.50760024080339139</v>
      </c>
    </row>
    <row r="1976" spans="1:14" x14ac:dyDescent="0.35">
      <c r="A1976">
        <v>1974</v>
      </c>
      <c r="B1976" t="s">
        <v>7</v>
      </c>
      <c r="C1976" t="s">
        <v>49</v>
      </c>
      <c r="D1976">
        <v>0.16666666666666666</v>
      </c>
      <c r="E1976">
        <v>0.83333333333333337</v>
      </c>
      <c r="F1976">
        <v>313.14999999999998</v>
      </c>
      <c r="G1976">
        <v>304.7</v>
      </c>
      <c r="H1976">
        <f t="shared" si="120"/>
        <v>-4.55</v>
      </c>
      <c r="I1976">
        <v>1.0567204383852655E-2</v>
      </c>
      <c r="J1976" t="str">
        <f t="shared" si="121"/>
        <v>C[N+](C)(C)CCO.[Cl-]C1=COC(=C1)CO</v>
      </c>
      <c r="K1976">
        <v>85</v>
      </c>
      <c r="M1976">
        <f t="shared" si="122"/>
        <v>5.4037971934950142E-2</v>
      </c>
      <c r="N1976">
        <f t="shared" si="123"/>
        <v>-0.45094462059437207</v>
      </c>
    </row>
    <row r="1977" spans="1:14" x14ac:dyDescent="0.35">
      <c r="A1977">
        <v>1975</v>
      </c>
      <c r="B1977" t="s">
        <v>7</v>
      </c>
      <c r="C1977" t="s">
        <v>49</v>
      </c>
      <c r="D1977">
        <v>0.16666666666666666</v>
      </c>
      <c r="E1977">
        <v>0.83333333333333337</v>
      </c>
      <c r="F1977">
        <v>313.14999999999998</v>
      </c>
      <c r="G1977">
        <v>404.9</v>
      </c>
      <c r="H1977">
        <f t="shared" si="120"/>
        <v>-4.26</v>
      </c>
      <c r="I1977">
        <v>1.4122302410163962E-2</v>
      </c>
      <c r="J1977" t="str">
        <f t="shared" si="121"/>
        <v>C[N+](C)(C)CCO.[Cl-]C1=COC(=C1)CO</v>
      </c>
      <c r="K1977">
        <v>85</v>
      </c>
      <c r="M1977">
        <f t="shared" si="122"/>
        <v>5.4037971934950142E-2</v>
      </c>
      <c r="N1977">
        <f t="shared" si="123"/>
        <v>-0.39490421442513485</v>
      </c>
    </row>
    <row r="1978" spans="1:14" x14ac:dyDescent="0.35">
      <c r="A1978">
        <v>1976</v>
      </c>
      <c r="B1978" t="s">
        <v>7</v>
      </c>
      <c r="C1978" t="s">
        <v>49</v>
      </c>
      <c r="D1978">
        <v>0.16666666666666666</v>
      </c>
      <c r="E1978">
        <v>0.83333333333333337</v>
      </c>
      <c r="F1978">
        <v>313.14999999999998</v>
      </c>
      <c r="G1978">
        <v>505.2</v>
      </c>
      <c r="H1978">
        <f t="shared" si="120"/>
        <v>-4.04</v>
      </c>
      <c r="I1978">
        <v>1.7597472415623393E-2</v>
      </c>
      <c r="J1978" t="str">
        <f t="shared" si="121"/>
        <v>C[N+](C)(C)CCO.[Cl-]C1=COC(=C1)CO</v>
      </c>
      <c r="K1978">
        <v>85</v>
      </c>
      <c r="M1978">
        <f t="shared" si="122"/>
        <v>5.4037971934950142E-2</v>
      </c>
      <c r="N1978">
        <f t="shared" si="123"/>
        <v>-0.33880787970682646</v>
      </c>
    </row>
    <row r="1979" spans="1:14" x14ac:dyDescent="0.35">
      <c r="A1979">
        <v>1977</v>
      </c>
      <c r="B1979" t="s">
        <v>7</v>
      </c>
      <c r="C1979" t="s">
        <v>49</v>
      </c>
      <c r="D1979">
        <v>0.16666666666666666</v>
      </c>
      <c r="E1979">
        <v>0.83333333333333337</v>
      </c>
      <c r="F1979">
        <v>313.14999999999998</v>
      </c>
      <c r="G1979">
        <v>570.20000000000005</v>
      </c>
      <c r="H1979">
        <f t="shared" si="120"/>
        <v>-3.92</v>
      </c>
      <c r="I1979">
        <v>1.9841094744370288E-2</v>
      </c>
      <c r="J1979" t="str">
        <f t="shared" si="121"/>
        <v>C[N+](C)(C)CCO.[Cl-]C1=COC(=C1)CO</v>
      </c>
      <c r="K1979">
        <v>85</v>
      </c>
      <c r="M1979">
        <f t="shared" si="122"/>
        <v>5.4037971934950142E-2</v>
      </c>
      <c r="N1979">
        <f t="shared" si="123"/>
        <v>-0.30245432281061468</v>
      </c>
    </row>
    <row r="1980" spans="1:14" x14ac:dyDescent="0.35">
      <c r="A1980">
        <v>1978</v>
      </c>
      <c r="B1980" t="s">
        <v>7</v>
      </c>
      <c r="C1980" t="s">
        <v>49</v>
      </c>
      <c r="D1980">
        <v>0.16666666666666666</v>
      </c>
      <c r="E1980">
        <v>0.83333333333333337</v>
      </c>
      <c r="F1980">
        <v>323.14999999999998</v>
      </c>
      <c r="G1980">
        <v>71.3</v>
      </c>
      <c r="H1980">
        <f t="shared" si="120"/>
        <v>-6.07</v>
      </c>
      <c r="I1980">
        <v>2.3111732106021292E-3</v>
      </c>
      <c r="J1980" t="str">
        <f t="shared" si="121"/>
        <v>C[N+](C)(C)CCO.[Cl-]C1=COC(=C1)CO</v>
      </c>
      <c r="K1980">
        <v>85</v>
      </c>
      <c r="M1980">
        <f t="shared" si="122"/>
        <v>0.83775464848239545</v>
      </c>
      <c r="N1980">
        <f t="shared" si="123"/>
        <v>-0.58148185412630793</v>
      </c>
    </row>
    <row r="1981" spans="1:14" x14ac:dyDescent="0.35">
      <c r="A1981">
        <v>1979</v>
      </c>
      <c r="B1981" t="s">
        <v>7</v>
      </c>
      <c r="C1981" t="s">
        <v>49</v>
      </c>
      <c r="D1981">
        <v>0.16666666666666666</v>
      </c>
      <c r="E1981">
        <v>0.83333333333333337</v>
      </c>
      <c r="F1981">
        <v>323.14999999999998</v>
      </c>
      <c r="G1981">
        <v>194.1</v>
      </c>
      <c r="H1981">
        <f t="shared" si="120"/>
        <v>-5.0999999999999996</v>
      </c>
      <c r="I1981">
        <v>6.0967465655156379E-3</v>
      </c>
      <c r="J1981" t="str">
        <f t="shared" si="121"/>
        <v>C[N+](C)(C)CCO.[Cl-]C1=COC(=C1)CO</v>
      </c>
      <c r="K1981">
        <v>85</v>
      </c>
      <c r="M1981">
        <f t="shared" si="122"/>
        <v>0.83775464848239545</v>
      </c>
      <c r="N1981">
        <f t="shared" si="123"/>
        <v>-0.51280159586700325</v>
      </c>
    </row>
    <row r="1982" spans="1:14" x14ac:dyDescent="0.35">
      <c r="A1982">
        <v>1980</v>
      </c>
      <c r="B1982" t="s">
        <v>7</v>
      </c>
      <c r="C1982" t="s">
        <v>49</v>
      </c>
      <c r="D1982">
        <v>0.16666666666666666</v>
      </c>
      <c r="E1982">
        <v>0.83333333333333337</v>
      </c>
      <c r="F1982">
        <v>323.14999999999998</v>
      </c>
      <c r="G1982">
        <v>301</v>
      </c>
      <c r="H1982">
        <f t="shared" si="120"/>
        <v>-4.67</v>
      </c>
      <c r="I1982">
        <v>9.3722695270060576E-3</v>
      </c>
      <c r="J1982" t="str">
        <f t="shared" si="121"/>
        <v>C[N+](C)(C)CCO.[Cl-]C1=COC(=C1)CO</v>
      </c>
      <c r="K1982">
        <v>85</v>
      </c>
      <c r="M1982">
        <f t="shared" si="122"/>
        <v>0.83775464848239545</v>
      </c>
      <c r="N1982">
        <f t="shared" si="123"/>
        <v>-0.45301397691000261</v>
      </c>
    </row>
    <row r="1983" spans="1:14" x14ac:dyDescent="0.35">
      <c r="A1983">
        <v>1981</v>
      </c>
      <c r="B1983" t="s">
        <v>7</v>
      </c>
      <c r="C1983" t="s">
        <v>49</v>
      </c>
      <c r="D1983">
        <v>0.16666666666666666</v>
      </c>
      <c r="E1983">
        <v>0.83333333333333337</v>
      </c>
      <c r="F1983">
        <v>323.14999999999998</v>
      </c>
      <c r="G1983">
        <v>403.6</v>
      </c>
      <c r="H1983">
        <f t="shared" si="120"/>
        <v>-4.3740584650247047</v>
      </c>
      <c r="I1983">
        <v>1.26E-2</v>
      </c>
      <c r="J1983" t="str">
        <f t="shared" si="121"/>
        <v>C[N+](C)(C)CCO.[Cl-]C1=COC(=C1)CO</v>
      </c>
      <c r="K1983">
        <v>85</v>
      </c>
      <c r="M1983">
        <f t="shared" si="122"/>
        <v>0.83775464848239545</v>
      </c>
      <c r="N1983">
        <f t="shared" si="123"/>
        <v>-0.3956312855630591</v>
      </c>
    </row>
    <row r="1984" spans="1:14" x14ac:dyDescent="0.35">
      <c r="A1984">
        <v>1982</v>
      </c>
      <c r="B1984" t="s">
        <v>7</v>
      </c>
      <c r="C1984" t="s">
        <v>49</v>
      </c>
      <c r="D1984">
        <v>0.16666666666666666</v>
      </c>
      <c r="E1984">
        <v>0.83333333333333337</v>
      </c>
      <c r="F1984">
        <v>323.14999999999998</v>
      </c>
      <c r="G1984">
        <v>502.8</v>
      </c>
      <c r="H1984">
        <f t="shared" si="120"/>
        <v>-4.1500000000000004</v>
      </c>
      <c r="I1984">
        <v>1.5764416484854486E-2</v>
      </c>
      <c r="J1984" t="str">
        <f t="shared" si="121"/>
        <v>C[N+](C)(C)CCO.[Cl-]C1=COC(=C1)CO</v>
      </c>
      <c r="K1984">
        <v>85</v>
      </c>
      <c r="M1984">
        <f t="shared" si="122"/>
        <v>0.83775464848239545</v>
      </c>
      <c r="N1984">
        <f t="shared" si="123"/>
        <v>-0.34015016488453281</v>
      </c>
    </row>
    <row r="1985" spans="1:14" x14ac:dyDescent="0.35">
      <c r="A1985">
        <v>1983</v>
      </c>
      <c r="B1985" t="s">
        <v>7</v>
      </c>
      <c r="C1985" t="s">
        <v>49</v>
      </c>
      <c r="D1985">
        <v>0.16666666666666666</v>
      </c>
      <c r="E1985">
        <v>0.83333333333333337</v>
      </c>
      <c r="F1985">
        <v>323.14999999999998</v>
      </c>
      <c r="G1985">
        <v>573.1</v>
      </c>
      <c r="H1985">
        <f t="shared" si="120"/>
        <v>-4.0199999999999996</v>
      </c>
      <c r="I1985">
        <v>1.7952964939502866E-2</v>
      </c>
      <c r="J1985" t="str">
        <f t="shared" si="121"/>
        <v>C[N+](C)(C)CCO.[Cl-]C1=COC(=C1)CO</v>
      </c>
      <c r="K1985">
        <v>85</v>
      </c>
      <c r="M1985">
        <f t="shared" si="122"/>
        <v>0.83775464848239545</v>
      </c>
      <c r="N1985">
        <f t="shared" si="123"/>
        <v>-0.30083239488755298</v>
      </c>
    </row>
    <row r="1986" spans="1:14" x14ac:dyDescent="0.35">
      <c r="A1986">
        <v>1984</v>
      </c>
      <c r="B1986" t="s">
        <v>7</v>
      </c>
      <c r="C1986" t="s">
        <v>49</v>
      </c>
      <c r="D1986">
        <v>0.16666666666666666</v>
      </c>
      <c r="E1986">
        <v>0.83333333333333337</v>
      </c>
      <c r="F1986">
        <v>333.15</v>
      </c>
      <c r="G1986">
        <v>74.900000000000006</v>
      </c>
      <c r="H1986">
        <f t="shared" si="120"/>
        <v>-6.21</v>
      </c>
      <c r="I1986">
        <v>2.0092374640700602E-3</v>
      </c>
      <c r="J1986" t="str">
        <f t="shared" si="121"/>
        <v>C[N+](C)(C)CCO.[Cl-]C1=COC(=C1)CO</v>
      </c>
      <c r="K1986">
        <v>85</v>
      </c>
      <c r="M1986">
        <f t="shared" si="122"/>
        <v>1.6214713250298407</v>
      </c>
      <c r="N1986">
        <f t="shared" si="123"/>
        <v>-0.57946842635974849</v>
      </c>
    </row>
    <row r="1987" spans="1:14" x14ac:dyDescent="0.35">
      <c r="A1987">
        <v>1985</v>
      </c>
      <c r="B1987" t="s">
        <v>7</v>
      </c>
      <c r="C1987" t="s">
        <v>49</v>
      </c>
      <c r="D1987">
        <v>0.16666666666666666</v>
      </c>
      <c r="E1987">
        <v>0.83333333333333337</v>
      </c>
      <c r="F1987">
        <v>333.15</v>
      </c>
      <c r="G1987">
        <v>204.2</v>
      </c>
      <c r="H1987">
        <f t="shared" ref="H1987:H2050" si="124">LN(I1987)</f>
        <v>-5.22</v>
      </c>
      <c r="I1987">
        <v>5.4073291264409599E-3</v>
      </c>
      <c r="J1987" t="str">
        <f t="shared" ref="J1987:J2050" si="125">_xlfn.CONCAT(B1987,C1987)</f>
        <v>C[N+](C)(C)CCO.[Cl-]C1=COC(=C1)CO</v>
      </c>
      <c r="K1987">
        <v>85</v>
      </c>
      <c r="M1987">
        <f t="shared" ref="M1987:M2050" si="126">(F1987-$L$3)/$L$2</f>
        <v>1.6214713250298407</v>
      </c>
      <c r="N1987">
        <f t="shared" ref="N1987:N2050" si="127">(G1987-$L$6)/$L$5</f>
        <v>-0.50715281241082255</v>
      </c>
    </row>
    <row r="1988" spans="1:14" x14ac:dyDescent="0.35">
      <c r="A1988">
        <v>1986</v>
      </c>
      <c r="B1988" t="s">
        <v>7</v>
      </c>
      <c r="C1988" t="s">
        <v>49</v>
      </c>
      <c r="D1988">
        <v>0.16666666666666666</v>
      </c>
      <c r="E1988">
        <v>0.83333333333333337</v>
      </c>
      <c r="F1988">
        <v>333.15</v>
      </c>
      <c r="G1988">
        <v>315.2</v>
      </c>
      <c r="H1988">
        <f t="shared" si="124"/>
        <v>-4.78</v>
      </c>
      <c r="I1988">
        <v>8.3959989674914706E-3</v>
      </c>
      <c r="J1988" t="str">
        <f t="shared" si="125"/>
        <v>C[N+](C)(C)CCO.[Cl-]C1=COC(=C1)CO</v>
      </c>
      <c r="K1988">
        <v>85</v>
      </c>
      <c r="M1988">
        <f t="shared" si="126"/>
        <v>1.6214713250298407</v>
      </c>
      <c r="N1988">
        <f t="shared" si="127"/>
        <v>-0.44507212294190707</v>
      </c>
    </row>
    <row r="1989" spans="1:14" x14ac:dyDescent="0.35">
      <c r="A1989">
        <v>1987</v>
      </c>
      <c r="B1989" t="s">
        <v>7</v>
      </c>
      <c r="C1989" t="s">
        <v>49</v>
      </c>
      <c r="D1989">
        <v>0.16666666666666666</v>
      </c>
      <c r="E1989">
        <v>0.83333333333333337</v>
      </c>
      <c r="F1989">
        <v>333.15</v>
      </c>
      <c r="G1989">
        <v>409.6</v>
      </c>
      <c r="H1989">
        <f t="shared" si="124"/>
        <v>-4.5</v>
      </c>
      <c r="I1989">
        <v>1.1108996538242306E-2</v>
      </c>
      <c r="J1989" t="str">
        <f t="shared" si="125"/>
        <v>C[N+](C)(C)CCO.[Cl-]C1=COC(=C1)CO</v>
      </c>
      <c r="K1989">
        <v>85</v>
      </c>
      <c r="M1989">
        <f t="shared" si="126"/>
        <v>1.6214713250298407</v>
      </c>
      <c r="N1989">
        <f t="shared" si="127"/>
        <v>-0.39227557261879337</v>
      </c>
    </row>
    <row r="1990" spans="1:14" x14ac:dyDescent="0.35">
      <c r="A1990">
        <v>1988</v>
      </c>
      <c r="B1990" t="s">
        <v>7</v>
      </c>
      <c r="C1990" t="s">
        <v>49</v>
      </c>
      <c r="D1990">
        <v>0.16666666666666666</v>
      </c>
      <c r="E1990">
        <v>0.83333333333333337</v>
      </c>
      <c r="F1990">
        <v>333.15</v>
      </c>
      <c r="G1990">
        <v>511.7</v>
      </c>
      <c r="H1990">
        <f t="shared" si="124"/>
        <v>-4.29</v>
      </c>
      <c r="I1990">
        <v>1.3704925297364945E-2</v>
      </c>
      <c r="J1990" t="str">
        <f t="shared" si="125"/>
        <v>C[N+](C)(C)CCO.[Cl-]C1=COC(=C1)CO</v>
      </c>
      <c r="K1990">
        <v>85</v>
      </c>
      <c r="M1990">
        <f t="shared" si="126"/>
        <v>1.6214713250298407</v>
      </c>
      <c r="N1990">
        <f t="shared" si="127"/>
        <v>-0.33517252401720532</v>
      </c>
    </row>
    <row r="1991" spans="1:14" x14ac:dyDescent="0.35">
      <c r="A1991">
        <v>1989</v>
      </c>
      <c r="B1991" t="s">
        <v>7</v>
      </c>
      <c r="C1991" t="s">
        <v>49</v>
      </c>
      <c r="D1991">
        <v>0.16666666666666666</v>
      </c>
      <c r="E1991">
        <v>0.83333333333333337</v>
      </c>
      <c r="F1991">
        <v>333.15</v>
      </c>
      <c r="G1991">
        <v>577.20000000000005</v>
      </c>
      <c r="H1991">
        <f t="shared" si="124"/>
        <v>-4.1733877695625532</v>
      </c>
      <c r="I1991">
        <v>1.54E-2</v>
      </c>
      <c r="J1991" t="str">
        <f t="shared" si="125"/>
        <v>C[N+](C)(C)CCO.[Cl-]C1=COC(=C1)CO</v>
      </c>
      <c r="K1991">
        <v>85</v>
      </c>
      <c r="M1991">
        <f t="shared" si="126"/>
        <v>1.6214713250298407</v>
      </c>
      <c r="N1991">
        <f t="shared" si="127"/>
        <v>-0.29853932437563807</v>
      </c>
    </row>
    <row r="1992" spans="1:14" x14ac:dyDescent="0.35">
      <c r="A1992">
        <v>1990</v>
      </c>
      <c r="B1992" t="s">
        <v>7</v>
      </c>
      <c r="C1992" t="s">
        <v>54</v>
      </c>
      <c r="D1992">
        <v>0.16666666666666666</v>
      </c>
      <c r="E1992">
        <v>0.83333333333333337</v>
      </c>
      <c r="F1992">
        <v>303.14999999999998</v>
      </c>
      <c r="G1992">
        <v>71.5</v>
      </c>
      <c r="H1992">
        <f t="shared" si="124"/>
        <v>-5.5</v>
      </c>
      <c r="I1992">
        <v>4.0867714384640666E-3</v>
      </c>
      <c r="J1992" t="str">
        <f t="shared" si="125"/>
        <v>C[N+](C)(C)CCO.[Cl-]CC(=O)CCC(=O)O</v>
      </c>
      <c r="K1992">
        <v>86</v>
      </c>
      <c r="M1992">
        <f t="shared" si="126"/>
        <v>-0.72967870461249518</v>
      </c>
      <c r="N1992">
        <f t="shared" si="127"/>
        <v>-0.58136999702816572</v>
      </c>
    </row>
    <row r="1993" spans="1:14" x14ac:dyDescent="0.35">
      <c r="A1993">
        <v>1991</v>
      </c>
      <c r="B1993" t="s">
        <v>7</v>
      </c>
      <c r="C1993" t="s">
        <v>54</v>
      </c>
      <c r="D1993">
        <v>0.16666666666666666</v>
      </c>
      <c r="E1993">
        <v>0.83333333333333337</v>
      </c>
      <c r="F1993">
        <v>303.14999999999998</v>
      </c>
      <c r="G1993">
        <v>188.9</v>
      </c>
      <c r="H1993">
        <f t="shared" si="124"/>
        <v>-4.49</v>
      </c>
      <c r="I1993">
        <v>1.1220643809589084E-2</v>
      </c>
      <c r="J1993" t="str">
        <f t="shared" si="125"/>
        <v>C[N+](C)(C)CCO.[Cl-]CC(=O)CCC(=O)O</v>
      </c>
      <c r="K1993">
        <v>86</v>
      </c>
      <c r="M1993">
        <f t="shared" si="126"/>
        <v>-0.72967870461249518</v>
      </c>
      <c r="N1993">
        <f t="shared" si="127"/>
        <v>-0.51570988041870014</v>
      </c>
    </row>
    <row r="1994" spans="1:14" x14ac:dyDescent="0.35">
      <c r="A1994">
        <v>1992</v>
      </c>
      <c r="B1994" t="s">
        <v>7</v>
      </c>
      <c r="C1994" t="s">
        <v>54</v>
      </c>
      <c r="D1994">
        <v>0.16666666666666666</v>
      </c>
      <c r="E1994">
        <v>0.83333333333333337</v>
      </c>
      <c r="F1994">
        <v>303.14999999999998</v>
      </c>
      <c r="G1994">
        <v>296.89999999999998</v>
      </c>
      <c r="H1994">
        <f t="shared" si="124"/>
        <v>-4.0341906394023539</v>
      </c>
      <c r="I1994">
        <v>1.77E-2</v>
      </c>
      <c r="J1994" t="str">
        <f t="shared" si="125"/>
        <v>C[N+](C)(C)CCO.[Cl-]CC(=O)CCC(=O)O</v>
      </c>
      <c r="K1994">
        <v>86</v>
      </c>
      <c r="M1994">
        <f t="shared" si="126"/>
        <v>-0.72967870461249518</v>
      </c>
      <c r="N1994">
        <f t="shared" si="127"/>
        <v>-0.45530704742191752</v>
      </c>
    </row>
    <row r="1995" spans="1:14" x14ac:dyDescent="0.35">
      <c r="A1995">
        <v>1993</v>
      </c>
      <c r="B1995" t="s">
        <v>7</v>
      </c>
      <c r="C1995" t="s">
        <v>54</v>
      </c>
      <c r="D1995">
        <v>0.16666666666666666</v>
      </c>
      <c r="E1995">
        <v>0.83333333333333337</v>
      </c>
      <c r="F1995">
        <v>303.14999999999998</v>
      </c>
      <c r="G1995">
        <v>401.7</v>
      </c>
      <c r="H1995">
        <f t="shared" si="124"/>
        <v>-3.7422802308410517</v>
      </c>
      <c r="I1995">
        <v>2.3699999999999999E-2</v>
      </c>
      <c r="J1995" t="str">
        <f t="shared" si="125"/>
        <v>C[N+](C)(C)CCO.[Cl-]CC(=O)CCC(=O)O</v>
      </c>
      <c r="K1995">
        <v>86</v>
      </c>
      <c r="M1995">
        <f t="shared" si="126"/>
        <v>-0.72967870461249518</v>
      </c>
      <c r="N1995">
        <f t="shared" si="127"/>
        <v>-0.39669392799540987</v>
      </c>
    </row>
    <row r="1996" spans="1:14" x14ac:dyDescent="0.35">
      <c r="A1996">
        <v>1994</v>
      </c>
      <c r="B1996" t="s">
        <v>7</v>
      </c>
      <c r="C1996" t="s">
        <v>54</v>
      </c>
      <c r="D1996">
        <v>0.16666666666666666</v>
      </c>
      <c r="E1996">
        <v>0.83333333333333337</v>
      </c>
      <c r="F1996">
        <v>303.14999999999998</v>
      </c>
      <c r="G1996">
        <v>501.5</v>
      </c>
      <c r="H1996">
        <f t="shared" si="124"/>
        <v>-3.5267606046375013</v>
      </c>
      <c r="I1996">
        <v>2.9399999999999999E-2</v>
      </c>
      <c r="J1996" t="str">
        <f t="shared" si="125"/>
        <v>C[N+](C)(C)CCO.[Cl-]CC(=O)CCC(=O)O</v>
      </c>
      <c r="K1996">
        <v>86</v>
      </c>
      <c r="M1996">
        <f t="shared" si="126"/>
        <v>-0.72967870461249518</v>
      </c>
      <c r="N1996">
        <f t="shared" si="127"/>
        <v>-0.34087723602245701</v>
      </c>
    </row>
    <row r="1997" spans="1:14" x14ac:dyDescent="0.35">
      <c r="A1997">
        <v>1995</v>
      </c>
      <c r="B1997" t="s">
        <v>7</v>
      </c>
      <c r="C1997" t="s">
        <v>54</v>
      </c>
      <c r="D1997">
        <v>0.16666666666666666</v>
      </c>
      <c r="E1997">
        <v>0.83333333333333337</v>
      </c>
      <c r="F1997">
        <v>303.14999999999998</v>
      </c>
      <c r="G1997">
        <v>566.70000000000005</v>
      </c>
      <c r="H1997">
        <f t="shared" si="124"/>
        <v>-3.4021978819957388</v>
      </c>
      <c r="I1997">
        <v>3.3300000000000003E-2</v>
      </c>
      <c r="J1997" t="str">
        <f t="shared" si="125"/>
        <v>C[N+](C)(C)CCO.[Cl-]CC(=O)CCC(=O)O</v>
      </c>
      <c r="K1997">
        <v>86</v>
      </c>
      <c r="M1997">
        <f t="shared" si="126"/>
        <v>-0.72967870461249518</v>
      </c>
      <c r="N1997">
        <f t="shared" si="127"/>
        <v>-0.30441182202810302</v>
      </c>
    </row>
    <row r="1998" spans="1:14" x14ac:dyDescent="0.35">
      <c r="A1998">
        <v>1996</v>
      </c>
      <c r="B1998" t="s">
        <v>7</v>
      </c>
      <c r="C1998" t="s">
        <v>54</v>
      </c>
      <c r="D1998">
        <v>0.16666666666666666</v>
      </c>
      <c r="E1998">
        <v>0.83333333333333337</v>
      </c>
      <c r="F1998">
        <v>313.14999999999998</v>
      </c>
      <c r="G1998">
        <v>73.099999999999994</v>
      </c>
      <c r="H1998">
        <f t="shared" si="124"/>
        <v>-5.74</v>
      </c>
      <c r="I1998">
        <v>3.21476827530687E-3</v>
      </c>
      <c r="J1998" t="str">
        <f t="shared" si="125"/>
        <v>C[N+](C)(C)CCO.[Cl-]CC(=O)CCC(=O)O</v>
      </c>
      <c r="K1998">
        <v>86</v>
      </c>
      <c r="M1998">
        <f t="shared" si="126"/>
        <v>5.4037971934950142E-2</v>
      </c>
      <c r="N1998">
        <f t="shared" si="127"/>
        <v>-0.58047514024302826</v>
      </c>
    </row>
    <row r="1999" spans="1:14" x14ac:dyDescent="0.35">
      <c r="A1999">
        <v>1997</v>
      </c>
      <c r="B1999" t="s">
        <v>7</v>
      </c>
      <c r="C1999" t="s">
        <v>54</v>
      </c>
      <c r="D1999">
        <v>0.16666666666666666</v>
      </c>
      <c r="E1999">
        <v>0.83333333333333337</v>
      </c>
      <c r="F1999">
        <v>313.14999999999998</v>
      </c>
      <c r="G1999">
        <v>200.1</v>
      </c>
      <c r="H1999">
        <f t="shared" si="124"/>
        <v>-4.6500000000000004</v>
      </c>
      <c r="I1999">
        <v>9.5616019305435045E-3</v>
      </c>
      <c r="J1999" t="str">
        <f t="shared" si="125"/>
        <v>C[N+](C)(C)CCO.[Cl-]CC(=O)CCC(=O)O</v>
      </c>
      <c r="K1999">
        <v>86</v>
      </c>
      <c r="M1999">
        <f t="shared" si="126"/>
        <v>5.4037971934950142E-2</v>
      </c>
      <c r="N1999">
        <f t="shared" si="127"/>
        <v>-0.50944588292273751</v>
      </c>
    </row>
    <row r="2000" spans="1:14" x14ac:dyDescent="0.35">
      <c r="A2000">
        <v>1998</v>
      </c>
      <c r="B2000" t="s">
        <v>7</v>
      </c>
      <c r="C2000" t="s">
        <v>54</v>
      </c>
      <c r="D2000">
        <v>0.16666666666666666</v>
      </c>
      <c r="E2000">
        <v>0.83333333333333337</v>
      </c>
      <c r="F2000">
        <v>313.14999999999998</v>
      </c>
      <c r="G2000">
        <v>308.39999999999998</v>
      </c>
      <c r="H2000">
        <f t="shared" si="124"/>
        <v>-4.1864598511299063</v>
      </c>
      <c r="I2000">
        <v>1.52E-2</v>
      </c>
      <c r="J2000" t="str">
        <f t="shared" si="125"/>
        <v>C[N+](C)(C)CCO.[Cl-]CC(=O)CCC(=O)O</v>
      </c>
      <c r="K2000">
        <v>86</v>
      </c>
      <c r="M2000">
        <f t="shared" si="126"/>
        <v>5.4037971934950142E-2</v>
      </c>
      <c r="N2000">
        <f t="shared" si="127"/>
        <v>-0.44887526427874158</v>
      </c>
    </row>
    <row r="2001" spans="1:14" x14ac:dyDescent="0.35">
      <c r="A2001">
        <v>1999</v>
      </c>
      <c r="B2001" t="s">
        <v>7</v>
      </c>
      <c r="C2001" t="s">
        <v>54</v>
      </c>
      <c r="D2001">
        <v>0.16666666666666666</v>
      </c>
      <c r="E2001">
        <v>0.83333333333333337</v>
      </c>
      <c r="F2001">
        <v>313.14999999999998</v>
      </c>
      <c r="G2001">
        <v>412.2</v>
      </c>
      <c r="H2001">
        <f t="shared" si="124"/>
        <v>-3.91</v>
      </c>
      <c r="I2001">
        <v>2.0040501061684014E-2</v>
      </c>
      <c r="J2001" t="str">
        <f t="shared" si="125"/>
        <v>C[N+](C)(C)CCO.[Cl-]CC(=O)CCC(=O)O</v>
      </c>
      <c r="K2001">
        <v>86</v>
      </c>
      <c r="M2001">
        <f t="shared" si="126"/>
        <v>5.4037971934950142E-2</v>
      </c>
      <c r="N2001">
        <f t="shared" si="127"/>
        <v>-0.39082143034294486</v>
      </c>
    </row>
    <row r="2002" spans="1:14" x14ac:dyDescent="0.35">
      <c r="A2002">
        <v>2000</v>
      </c>
      <c r="B2002" t="s">
        <v>7</v>
      </c>
      <c r="C2002" t="s">
        <v>54</v>
      </c>
      <c r="D2002">
        <v>0.16666666666666666</v>
      </c>
      <c r="E2002">
        <v>0.83333333333333337</v>
      </c>
      <c r="F2002">
        <v>313.14999999999998</v>
      </c>
      <c r="G2002">
        <v>511.4</v>
      </c>
      <c r="H2002">
        <f t="shared" si="124"/>
        <v>-3.6969116258112007</v>
      </c>
      <c r="I2002">
        <v>2.4799999999999999E-2</v>
      </c>
      <c r="J2002" t="str">
        <f t="shared" si="125"/>
        <v>C[N+](C)(C)CCO.[Cl-]CC(=O)CCC(=O)O</v>
      </c>
      <c r="K2002">
        <v>86</v>
      </c>
      <c r="M2002">
        <f t="shared" si="126"/>
        <v>5.4037971934950142E-2</v>
      </c>
      <c r="N2002">
        <f t="shared" si="127"/>
        <v>-0.33534030966441863</v>
      </c>
    </row>
    <row r="2003" spans="1:14" x14ac:dyDescent="0.35">
      <c r="A2003">
        <v>2001</v>
      </c>
      <c r="B2003" t="s">
        <v>7</v>
      </c>
      <c r="C2003" t="s">
        <v>54</v>
      </c>
      <c r="D2003">
        <v>0.16666666666666666</v>
      </c>
      <c r="E2003">
        <v>0.83333333333333337</v>
      </c>
      <c r="F2003">
        <v>313.14999999999998</v>
      </c>
      <c r="G2003">
        <v>573.70000000000005</v>
      </c>
      <c r="H2003">
        <f t="shared" si="124"/>
        <v>-3.5719857026424369</v>
      </c>
      <c r="I2003">
        <v>2.81E-2</v>
      </c>
      <c r="J2003" t="str">
        <f t="shared" si="125"/>
        <v>C[N+](C)(C)CCO.[Cl-]CC(=O)CCC(=O)O</v>
      </c>
      <c r="K2003">
        <v>86</v>
      </c>
      <c r="M2003">
        <f t="shared" si="126"/>
        <v>5.4037971934950142E-2</v>
      </c>
      <c r="N2003">
        <f t="shared" si="127"/>
        <v>-0.30049682359312635</v>
      </c>
    </row>
    <row r="2004" spans="1:14" x14ac:dyDescent="0.35">
      <c r="A2004">
        <v>2002</v>
      </c>
      <c r="B2004" t="s">
        <v>7</v>
      </c>
      <c r="C2004" t="s">
        <v>54</v>
      </c>
      <c r="D2004">
        <v>0.16666666666666666</v>
      </c>
      <c r="E2004">
        <v>0.83333333333333337</v>
      </c>
      <c r="F2004">
        <v>323.14999999999998</v>
      </c>
      <c r="G2004">
        <v>75.599999999999994</v>
      </c>
      <c r="H2004">
        <f t="shared" si="124"/>
        <v>-5.81</v>
      </c>
      <c r="I2004">
        <v>2.9974300723258312E-3</v>
      </c>
      <c r="J2004" t="str">
        <f t="shared" si="125"/>
        <v>C[N+](C)(C)CCO.[Cl-]CC(=O)CCC(=O)O</v>
      </c>
      <c r="K2004">
        <v>86</v>
      </c>
      <c r="M2004">
        <f t="shared" si="126"/>
        <v>0.83775464848239545</v>
      </c>
      <c r="N2004">
        <f t="shared" si="127"/>
        <v>-0.57907692651625087</v>
      </c>
    </row>
    <row r="2005" spans="1:14" x14ac:dyDescent="0.35">
      <c r="A2005">
        <v>2003</v>
      </c>
      <c r="B2005" t="s">
        <v>7</v>
      </c>
      <c r="C2005" t="s">
        <v>54</v>
      </c>
      <c r="D2005">
        <v>0.16666666666666666</v>
      </c>
      <c r="E2005">
        <v>0.83333333333333337</v>
      </c>
      <c r="F2005">
        <v>323.14999999999998</v>
      </c>
      <c r="G2005">
        <v>208.8</v>
      </c>
      <c r="H2005">
        <f t="shared" si="124"/>
        <v>-4.79</v>
      </c>
      <c r="I2005">
        <v>8.3124573819231187E-3</v>
      </c>
      <c r="J2005" t="str">
        <f t="shared" si="125"/>
        <v>C[N+](C)(C)CCO.[Cl-]CC(=O)CCC(=O)O</v>
      </c>
      <c r="K2005">
        <v>86</v>
      </c>
      <c r="M2005">
        <f t="shared" si="126"/>
        <v>0.83775464848239545</v>
      </c>
      <c r="N2005">
        <f t="shared" si="127"/>
        <v>-0.50458009915355229</v>
      </c>
    </row>
    <row r="2006" spans="1:14" x14ac:dyDescent="0.35">
      <c r="A2006">
        <v>2004</v>
      </c>
      <c r="B2006" t="s">
        <v>7</v>
      </c>
      <c r="C2006" t="s">
        <v>54</v>
      </c>
      <c r="D2006">
        <v>0.16666666666666666</v>
      </c>
      <c r="E2006">
        <v>0.83333333333333337</v>
      </c>
      <c r="F2006">
        <v>323.14999999999998</v>
      </c>
      <c r="G2006">
        <v>315.89999999999998</v>
      </c>
      <c r="H2006">
        <f t="shared" si="124"/>
        <v>-4.3600000000000003</v>
      </c>
      <c r="I2006">
        <v>1.2778387649535761E-2</v>
      </c>
      <c r="J2006" t="str">
        <f t="shared" si="125"/>
        <v>C[N+](C)(C)CCO.[Cl-]CC(=O)CCC(=O)O</v>
      </c>
      <c r="K2006">
        <v>86</v>
      </c>
      <c r="M2006">
        <f t="shared" si="126"/>
        <v>0.83775464848239545</v>
      </c>
      <c r="N2006">
        <f t="shared" si="127"/>
        <v>-0.44468062309840944</v>
      </c>
    </row>
    <row r="2007" spans="1:14" x14ac:dyDescent="0.35">
      <c r="A2007">
        <v>2005</v>
      </c>
      <c r="B2007" t="s">
        <v>7</v>
      </c>
      <c r="C2007" t="s">
        <v>54</v>
      </c>
      <c r="D2007">
        <v>0.16666666666666666</v>
      </c>
      <c r="E2007">
        <v>0.83333333333333337</v>
      </c>
      <c r="F2007">
        <v>323.14999999999998</v>
      </c>
      <c r="G2007">
        <v>418.4</v>
      </c>
      <c r="H2007">
        <f t="shared" si="124"/>
        <v>-4.05</v>
      </c>
      <c r="I2007">
        <v>1.7422374639493515E-2</v>
      </c>
      <c r="J2007" t="str">
        <f t="shared" si="125"/>
        <v>C[N+](C)(C)CCO.[Cl-]CC(=O)CCC(=O)O</v>
      </c>
      <c r="K2007">
        <v>86</v>
      </c>
      <c r="M2007">
        <f t="shared" si="126"/>
        <v>0.83775464848239545</v>
      </c>
      <c r="N2007">
        <f t="shared" si="127"/>
        <v>-0.38735386030053703</v>
      </c>
    </row>
    <row r="2008" spans="1:14" x14ac:dyDescent="0.35">
      <c r="A2008">
        <v>2006</v>
      </c>
      <c r="B2008" t="s">
        <v>7</v>
      </c>
      <c r="C2008" t="s">
        <v>54</v>
      </c>
      <c r="D2008">
        <v>0.16666666666666666</v>
      </c>
      <c r="E2008">
        <v>0.83333333333333337</v>
      </c>
      <c r="F2008">
        <v>323.14999999999998</v>
      </c>
      <c r="G2008">
        <v>517.20000000000005</v>
      </c>
      <c r="H2008">
        <f t="shared" si="124"/>
        <v>-3.85</v>
      </c>
      <c r="I2008">
        <v>2.1279736438377168E-2</v>
      </c>
      <c r="J2008" t="str">
        <f t="shared" si="125"/>
        <v>C[N+](C)(C)CCO.[Cl-]CC(=O)CCC(=O)O</v>
      </c>
      <c r="K2008">
        <v>86</v>
      </c>
      <c r="M2008">
        <f t="shared" si="126"/>
        <v>0.83775464848239545</v>
      </c>
      <c r="N2008">
        <f t="shared" si="127"/>
        <v>-0.33209645381829506</v>
      </c>
    </row>
    <row r="2009" spans="1:14" x14ac:dyDescent="0.35">
      <c r="A2009">
        <v>2007</v>
      </c>
      <c r="B2009" t="s">
        <v>7</v>
      </c>
      <c r="C2009" t="s">
        <v>54</v>
      </c>
      <c r="D2009">
        <v>0.16666666666666666</v>
      </c>
      <c r="E2009">
        <v>0.83333333333333337</v>
      </c>
      <c r="F2009">
        <v>323.14999999999998</v>
      </c>
      <c r="G2009">
        <v>579.9</v>
      </c>
      <c r="H2009">
        <f t="shared" si="124"/>
        <v>-3.7338768200446721</v>
      </c>
      <c r="I2009">
        <v>2.3900000000000001E-2</v>
      </c>
      <c r="J2009" t="str">
        <f t="shared" si="125"/>
        <v>C[N+](C)(C)CCO.[Cl-]CC(=O)CCC(=O)O</v>
      </c>
      <c r="K2009">
        <v>86</v>
      </c>
      <c r="M2009">
        <f t="shared" si="126"/>
        <v>0.83775464848239545</v>
      </c>
      <c r="N2009">
        <f t="shared" si="127"/>
        <v>-0.29702925355071852</v>
      </c>
    </row>
    <row r="2010" spans="1:14" x14ac:dyDescent="0.35">
      <c r="A2010">
        <v>2008</v>
      </c>
      <c r="B2010" t="s">
        <v>7</v>
      </c>
      <c r="C2010" t="s">
        <v>54</v>
      </c>
      <c r="D2010">
        <v>0.16666666666666666</v>
      </c>
      <c r="E2010">
        <v>0.83333333333333337</v>
      </c>
      <c r="F2010">
        <v>333.15</v>
      </c>
      <c r="G2010">
        <v>78.900000000000006</v>
      </c>
      <c r="H2010">
        <f t="shared" si="124"/>
        <v>-5.91</v>
      </c>
      <c r="I2010">
        <v>2.7121868873866434E-3</v>
      </c>
      <c r="J2010" t="str">
        <f t="shared" si="125"/>
        <v>C[N+](C)(C)CCO.[Cl-]CC(=O)CCC(=O)O</v>
      </c>
      <c r="K2010">
        <v>86</v>
      </c>
      <c r="M2010">
        <f t="shared" si="126"/>
        <v>1.6214713250298407</v>
      </c>
      <c r="N2010">
        <f t="shared" si="127"/>
        <v>-0.57723128439690463</v>
      </c>
    </row>
    <row r="2011" spans="1:14" x14ac:dyDescent="0.35">
      <c r="A2011">
        <v>2009</v>
      </c>
      <c r="B2011" t="s">
        <v>7</v>
      </c>
      <c r="C2011" t="s">
        <v>54</v>
      </c>
      <c r="D2011">
        <v>0.16666666666666666</v>
      </c>
      <c r="E2011">
        <v>0.83333333333333337</v>
      </c>
      <c r="F2011">
        <v>333.15</v>
      </c>
      <c r="G2011">
        <v>216.1</v>
      </c>
      <c r="H2011">
        <f t="shared" si="124"/>
        <v>-4.91</v>
      </c>
      <c r="I2011">
        <v>7.372488331368012E-3</v>
      </c>
      <c r="J2011" t="str">
        <f t="shared" si="125"/>
        <v>C[N+](C)(C)CCO.[Cl-]CC(=O)CCC(=O)O</v>
      </c>
      <c r="K2011">
        <v>86</v>
      </c>
      <c r="M2011">
        <f t="shared" si="126"/>
        <v>1.6214713250298407</v>
      </c>
      <c r="N2011">
        <f t="shared" si="127"/>
        <v>-0.5004973150713623</v>
      </c>
    </row>
    <row r="2012" spans="1:14" x14ac:dyDescent="0.35">
      <c r="A2012">
        <v>2010</v>
      </c>
      <c r="B2012" t="s">
        <v>7</v>
      </c>
      <c r="C2012" t="s">
        <v>54</v>
      </c>
      <c r="D2012">
        <v>0.16666666666666666</v>
      </c>
      <c r="E2012">
        <v>0.83333333333333337</v>
      </c>
      <c r="F2012">
        <v>333.15</v>
      </c>
      <c r="G2012">
        <v>319.2</v>
      </c>
      <c r="H2012">
        <f t="shared" si="124"/>
        <v>-4.51</v>
      </c>
      <c r="I2012">
        <v>1.0998460175806881E-2</v>
      </c>
      <c r="J2012" t="str">
        <f t="shared" si="125"/>
        <v>C[N+](C)(C)CCO.[Cl-]CC(=O)CCC(=O)O</v>
      </c>
      <c r="K2012">
        <v>86</v>
      </c>
      <c r="M2012">
        <f t="shared" si="126"/>
        <v>1.6214713250298407</v>
      </c>
      <c r="N2012">
        <f t="shared" si="127"/>
        <v>-0.44283498097906326</v>
      </c>
    </row>
    <row r="2013" spans="1:14" x14ac:dyDescent="0.35">
      <c r="A2013">
        <v>2011</v>
      </c>
      <c r="B2013" t="s">
        <v>7</v>
      </c>
      <c r="C2013" t="s">
        <v>54</v>
      </c>
      <c r="D2013">
        <v>0.16666666666666666</v>
      </c>
      <c r="E2013">
        <v>0.83333333333333337</v>
      </c>
      <c r="F2013">
        <v>333.15</v>
      </c>
      <c r="G2013">
        <v>417.3</v>
      </c>
      <c r="H2013">
        <f t="shared" si="124"/>
        <v>-4.2300000000000004</v>
      </c>
      <c r="I2013">
        <v>1.4552390548416123E-2</v>
      </c>
      <c r="J2013" t="str">
        <f t="shared" si="125"/>
        <v>C[N+](C)(C)CCO.[Cl-]CC(=O)CCC(=O)O</v>
      </c>
      <c r="K2013">
        <v>86</v>
      </c>
      <c r="M2013">
        <f t="shared" si="126"/>
        <v>1.6214713250298407</v>
      </c>
      <c r="N2013">
        <f t="shared" si="127"/>
        <v>-0.38796907434031908</v>
      </c>
    </row>
    <row r="2014" spans="1:14" x14ac:dyDescent="0.35">
      <c r="A2014">
        <v>2012</v>
      </c>
      <c r="B2014" t="s">
        <v>7</v>
      </c>
      <c r="C2014" t="s">
        <v>54</v>
      </c>
      <c r="D2014">
        <v>0.16666666666666666</v>
      </c>
      <c r="E2014">
        <v>0.83333333333333337</v>
      </c>
      <c r="F2014">
        <v>333.15</v>
      </c>
      <c r="G2014">
        <v>519.70000000000005</v>
      </c>
      <c r="H2014">
        <f t="shared" si="124"/>
        <v>-4.0229545661354278</v>
      </c>
      <c r="I2014">
        <v>1.7899999999999999E-2</v>
      </c>
      <c r="J2014" t="str">
        <f t="shared" si="125"/>
        <v>C[N+](C)(C)CCO.[Cl-]CC(=O)CCC(=O)O</v>
      </c>
      <c r="K2014">
        <v>86</v>
      </c>
      <c r="M2014">
        <f t="shared" si="126"/>
        <v>1.6214713250298407</v>
      </c>
      <c r="N2014">
        <f t="shared" si="127"/>
        <v>-0.33069824009151771</v>
      </c>
    </row>
    <row r="2015" spans="1:14" x14ac:dyDescent="0.35">
      <c r="A2015">
        <v>2013</v>
      </c>
      <c r="B2015" t="s">
        <v>7</v>
      </c>
      <c r="C2015" t="s">
        <v>54</v>
      </c>
      <c r="D2015">
        <v>0.16666666666666666</v>
      </c>
      <c r="E2015">
        <v>0.83333333333333337</v>
      </c>
      <c r="F2015">
        <v>333.15</v>
      </c>
      <c r="G2015">
        <v>581</v>
      </c>
      <c r="H2015">
        <f t="shared" si="124"/>
        <v>-3.9170355472516905</v>
      </c>
      <c r="I2015">
        <v>1.9900000000000001E-2</v>
      </c>
      <c r="J2015" t="str">
        <f t="shared" si="125"/>
        <v>C[N+](C)(C)CCO.[Cl-]CC(=O)CCC(=O)O</v>
      </c>
      <c r="K2015">
        <v>86</v>
      </c>
      <c r="M2015">
        <f t="shared" si="126"/>
        <v>1.6214713250298407</v>
      </c>
      <c r="N2015">
        <f t="shared" si="127"/>
        <v>-0.29641403951093648</v>
      </c>
    </row>
    <row r="2016" spans="1:14" x14ac:dyDescent="0.35">
      <c r="A2016">
        <v>2014</v>
      </c>
      <c r="B2016" t="s">
        <v>25</v>
      </c>
      <c r="C2016" t="s">
        <v>35</v>
      </c>
      <c r="D2016">
        <v>0.14285714285714285</v>
      </c>
      <c r="E2016">
        <v>0.85714285714285721</v>
      </c>
      <c r="F2016">
        <v>308.14999999999998</v>
      </c>
      <c r="G2016">
        <v>189.5</v>
      </c>
      <c r="H2016">
        <f t="shared" si="124"/>
        <v>-5.19</v>
      </c>
      <c r="I2016">
        <v>5.5720068149199926E-3</v>
      </c>
      <c r="J2016" t="str">
        <f t="shared" si="125"/>
        <v>C[N+](C)(C)CC(=O)[O-]CC(CO)O</v>
      </c>
      <c r="K2016">
        <v>72</v>
      </c>
      <c r="M2016">
        <f t="shared" si="126"/>
        <v>-0.33782036633877249</v>
      </c>
      <c r="N2016">
        <f t="shared" si="127"/>
        <v>-0.51537430912427362</v>
      </c>
    </row>
    <row r="2017" spans="1:14" x14ac:dyDescent="0.35">
      <c r="A2017">
        <v>2015</v>
      </c>
      <c r="B2017" t="s">
        <v>25</v>
      </c>
      <c r="C2017" t="s">
        <v>35</v>
      </c>
      <c r="D2017">
        <v>0.14285714285714285</v>
      </c>
      <c r="E2017">
        <v>0.85714285714285721</v>
      </c>
      <c r="F2017">
        <v>308.14999999999998</v>
      </c>
      <c r="G2017">
        <v>303.3</v>
      </c>
      <c r="H2017">
        <f t="shared" si="124"/>
        <v>-4.76</v>
      </c>
      <c r="I2017">
        <v>8.5656093974980606E-3</v>
      </c>
      <c r="J2017" t="str">
        <f t="shared" si="125"/>
        <v>C[N+](C)(C)CC(=O)[O-]CC(CO)O</v>
      </c>
      <c r="K2017">
        <v>72</v>
      </c>
      <c r="M2017">
        <f t="shared" si="126"/>
        <v>-0.33782036633877249</v>
      </c>
      <c r="N2017">
        <f t="shared" si="127"/>
        <v>-0.45172762028136743</v>
      </c>
    </row>
    <row r="2018" spans="1:14" x14ac:dyDescent="0.35">
      <c r="A2018">
        <v>2016</v>
      </c>
      <c r="B2018" t="s">
        <v>25</v>
      </c>
      <c r="C2018" t="s">
        <v>35</v>
      </c>
      <c r="D2018">
        <v>0.14285714285714285</v>
      </c>
      <c r="E2018">
        <v>0.85714285714285721</v>
      </c>
      <c r="F2018">
        <v>308.14999999999998</v>
      </c>
      <c r="G2018">
        <v>403.8</v>
      </c>
      <c r="H2018">
        <f t="shared" si="124"/>
        <v>-4.43</v>
      </c>
      <c r="I2018">
        <v>1.1914489672789647E-2</v>
      </c>
      <c r="J2018" t="str">
        <f t="shared" si="125"/>
        <v>C[N+](C)(C)CC(=O)[O-]CC(CO)O</v>
      </c>
      <c r="K2018">
        <v>72</v>
      </c>
      <c r="M2018">
        <f t="shared" si="126"/>
        <v>-0.33782036633877249</v>
      </c>
      <c r="N2018">
        <f t="shared" si="127"/>
        <v>-0.39551942846491694</v>
      </c>
    </row>
    <row r="2019" spans="1:14" x14ac:dyDescent="0.35">
      <c r="A2019">
        <v>2017</v>
      </c>
      <c r="B2019" t="s">
        <v>25</v>
      </c>
      <c r="C2019" t="s">
        <v>35</v>
      </c>
      <c r="D2019">
        <v>0.14285714285714285</v>
      </c>
      <c r="E2019">
        <v>0.85714285714285721</v>
      </c>
      <c r="F2019">
        <v>308.14999999999998</v>
      </c>
      <c r="G2019">
        <v>505</v>
      </c>
      <c r="H2019">
        <f t="shared" si="124"/>
        <v>-4.2</v>
      </c>
      <c r="I2019">
        <v>1.4995576820477703E-2</v>
      </c>
      <c r="J2019" t="str">
        <f t="shared" si="125"/>
        <v>C[N+](C)(C)CC(=O)[O-]CC(CO)O</v>
      </c>
      <c r="K2019">
        <v>72</v>
      </c>
      <c r="M2019">
        <f t="shared" si="126"/>
        <v>-0.33782036633877249</v>
      </c>
      <c r="N2019">
        <f t="shared" si="127"/>
        <v>-0.33891973680496867</v>
      </c>
    </row>
    <row r="2020" spans="1:14" x14ac:dyDescent="0.35">
      <c r="A2020">
        <v>2018</v>
      </c>
      <c r="B2020" t="s">
        <v>25</v>
      </c>
      <c r="C2020" t="s">
        <v>35</v>
      </c>
      <c r="D2020">
        <v>0.14285714285714285</v>
      </c>
      <c r="E2020">
        <v>0.85714285714285721</v>
      </c>
      <c r="F2020">
        <v>308.14999999999998</v>
      </c>
      <c r="G2020">
        <v>604.5</v>
      </c>
      <c r="H2020">
        <f t="shared" si="124"/>
        <v>-4.01</v>
      </c>
      <c r="I2020">
        <v>1.8133395236801075E-2</v>
      </c>
      <c r="J2020" t="str">
        <f t="shared" si="125"/>
        <v>C[N+](C)(C)CC(=O)[O-]CC(CO)O</v>
      </c>
      <c r="K2020">
        <v>72</v>
      </c>
      <c r="M2020">
        <f t="shared" si="126"/>
        <v>-0.33782036633877249</v>
      </c>
      <c r="N2020">
        <f t="shared" si="127"/>
        <v>-0.28327083047922913</v>
      </c>
    </row>
    <row r="2021" spans="1:14" x14ac:dyDescent="0.35">
      <c r="A2021">
        <v>2019</v>
      </c>
      <c r="B2021" t="s">
        <v>25</v>
      </c>
      <c r="C2021" t="s">
        <v>35</v>
      </c>
      <c r="D2021">
        <v>0.14285714285714285</v>
      </c>
      <c r="E2021">
        <v>0.85714285714285721</v>
      </c>
      <c r="F2021">
        <v>318.14999999999998</v>
      </c>
      <c r="G2021">
        <v>208</v>
      </c>
      <c r="H2021">
        <f t="shared" si="124"/>
        <v>-5.3</v>
      </c>
      <c r="I2021">
        <v>4.991593906910217E-3</v>
      </c>
      <c r="J2021" t="str">
        <f t="shared" si="125"/>
        <v>C[N+](C)(C)CC(=O)[O-]CC(CO)O</v>
      </c>
      <c r="K2021">
        <v>72</v>
      </c>
      <c r="M2021">
        <f t="shared" si="126"/>
        <v>0.44589631020867276</v>
      </c>
      <c r="N2021">
        <f t="shared" si="127"/>
        <v>-0.50502752754612101</v>
      </c>
    </row>
    <row r="2022" spans="1:14" x14ac:dyDescent="0.35">
      <c r="A2022">
        <v>2020</v>
      </c>
      <c r="B2022" t="s">
        <v>25</v>
      </c>
      <c r="C2022" t="s">
        <v>35</v>
      </c>
      <c r="D2022">
        <v>0.14285714285714285</v>
      </c>
      <c r="E2022">
        <v>0.85714285714285721</v>
      </c>
      <c r="F2022">
        <v>318.14999999999998</v>
      </c>
      <c r="G2022">
        <v>318</v>
      </c>
      <c r="H2022">
        <f t="shared" si="124"/>
        <v>-4.8499999999999996</v>
      </c>
      <c r="I2022">
        <v>7.8283775492257734E-3</v>
      </c>
      <c r="J2022" t="str">
        <f t="shared" si="125"/>
        <v>C[N+](C)(C)CC(=O)[O-]CC(CO)O</v>
      </c>
      <c r="K2022">
        <v>72</v>
      </c>
      <c r="M2022">
        <f t="shared" si="126"/>
        <v>0.44589631020867276</v>
      </c>
      <c r="N2022">
        <f t="shared" si="127"/>
        <v>-0.44350612356791647</v>
      </c>
    </row>
    <row r="2023" spans="1:14" x14ac:dyDescent="0.35">
      <c r="A2023">
        <v>2021</v>
      </c>
      <c r="B2023" t="s">
        <v>25</v>
      </c>
      <c r="C2023" t="s">
        <v>35</v>
      </c>
      <c r="D2023">
        <v>0.14285714285714285</v>
      </c>
      <c r="E2023">
        <v>0.85714285714285721</v>
      </c>
      <c r="F2023">
        <v>318.14999999999998</v>
      </c>
      <c r="G2023">
        <v>423.8</v>
      </c>
      <c r="H2023">
        <f t="shared" si="124"/>
        <v>-4.53</v>
      </c>
      <c r="I2023">
        <v>1.0780676072743084E-2</v>
      </c>
      <c r="J2023" t="str">
        <f t="shared" si="125"/>
        <v>C[N+](C)(C)CC(=O)[O-]CC(CO)O</v>
      </c>
      <c r="K2023">
        <v>72</v>
      </c>
      <c r="M2023">
        <f t="shared" si="126"/>
        <v>0.44589631020867276</v>
      </c>
      <c r="N2023">
        <f t="shared" si="127"/>
        <v>-0.38433371865069793</v>
      </c>
    </row>
    <row r="2024" spans="1:14" x14ac:dyDescent="0.35">
      <c r="A2024">
        <v>2022</v>
      </c>
      <c r="B2024" t="s">
        <v>25</v>
      </c>
      <c r="C2024" t="s">
        <v>35</v>
      </c>
      <c r="D2024">
        <v>0.14285714285714285</v>
      </c>
      <c r="E2024">
        <v>0.85714285714285721</v>
      </c>
      <c r="F2024">
        <v>318.14999999999998</v>
      </c>
      <c r="G2024">
        <v>529.79999999999995</v>
      </c>
      <c r="H2024">
        <f t="shared" si="124"/>
        <v>-4.29</v>
      </c>
      <c r="I2024">
        <v>1.3704925297364945E-2</v>
      </c>
      <c r="J2024" t="str">
        <f t="shared" si="125"/>
        <v>C[N+](C)(C)CC(=O)[O-]CC(CO)O</v>
      </c>
      <c r="K2024">
        <v>72</v>
      </c>
      <c r="M2024">
        <f t="shared" si="126"/>
        <v>0.44589631020867276</v>
      </c>
      <c r="N2024">
        <f t="shared" si="127"/>
        <v>-0.32504945663533713</v>
      </c>
    </row>
    <row r="2025" spans="1:14" x14ac:dyDescent="0.35">
      <c r="A2025">
        <v>2023</v>
      </c>
      <c r="B2025" t="s">
        <v>25</v>
      </c>
      <c r="C2025" t="s">
        <v>35</v>
      </c>
      <c r="D2025">
        <v>0.14285714285714285</v>
      </c>
      <c r="E2025">
        <v>0.85714285714285721</v>
      </c>
      <c r="F2025">
        <v>318.14999999999998</v>
      </c>
      <c r="G2025">
        <v>634.29999999999995</v>
      </c>
      <c r="H2025">
        <f t="shared" si="124"/>
        <v>-4.0999999999999996</v>
      </c>
      <c r="I2025">
        <v>1.6572675401761255E-2</v>
      </c>
      <c r="J2025" t="str">
        <f t="shared" si="125"/>
        <v>C[N+](C)(C)CC(=O)[O-]CC(CO)O</v>
      </c>
      <c r="K2025">
        <v>72</v>
      </c>
      <c r="M2025">
        <f t="shared" si="126"/>
        <v>0.44589631020867276</v>
      </c>
      <c r="N2025">
        <f t="shared" si="127"/>
        <v>-0.26660412285604285</v>
      </c>
    </row>
    <row r="2026" spans="1:14" x14ac:dyDescent="0.35">
      <c r="A2026">
        <v>2024</v>
      </c>
      <c r="B2026" t="s">
        <v>25</v>
      </c>
      <c r="C2026" t="s">
        <v>35</v>
      </c>
      <c r="D2026">
        <v>0.14285714285714285</v>
      </c>
      <c r="E2026">
        <v>0.85714285714285721</v>
      </c>
      <c r="F2026">
        <v>328.15</v>
      </c>
      <c r="G2026">
        <v>213</v>
      </c>
      <c r="H2026">
        <f t="shared" si="124"/>
        <v>-5.4</v>
      </c>
      <c r="I2026">
        <v>4.5165809426126659E-3</v>
      </c>
      <c r="J2026" t="str">
        <f t="shared" si="125"/>
        <v>C[N+](C)(C)CC(=O)[O-]CC(CO)O</v>
      </c>
      <c r="K2026">
        <v>72</v>
      </c>
      <c r="M2026">
        <f t="shared" si="126"/>
        <v>1.2296129867561181</v>
      </c>
      <c r="N2026">
        <f t="shared" si="127"/>
        <v>-0.50223110009256622</v>
      </c>
    </row>
    <row r="2027" spans="1:14" x14ac:dyDescent="0.35">
      <c r="A2027">
        <v>2025</v>
      </c>
      <c r="B2027" t="s">
        <v>25</v>
      </c>
      <c r="C2027" t="s">
        <v>35</v>
      </c>
      <c r="D2027">
        <v>0.14285714285714285</v>
      </c>
      <c r="E2027">
        <v>0.85714285714285721</v>
      </c>
      <c r="F2027">
        <v>328.15</v>
      </c>
      <c r="G2027">
        <v>332.5</v>
      </c>
      <c r="H2027">
        <f t="shared" si="124"/>
        <v>-4.95</v>
      </c>
      <c r="I2027">
        <v>7.0834089290521185E-3</v>
      </c>
      <c r="J2027" t="str">
        <f t="shared" si="125"/>
        <v>C[N+](C)(C)CC(=O)[O-]CC(CO)O</v>
      </c>
      <c r="K2027">
        <v>72</v>
      </c>
      <c r="M2027">
        <f t="shared" si="126"/>
        <v>1.2296129867561181</v>
      </c>
      <c r="N2027">
        <f t="shared" si="127"/>
        <v>-0.43539648395260766</v>
      </c>
    </row>
    <row r="2028" spans="1:14" x14ac:dyDescent="0.35">
      <c r="A2028">
        <v>2026</v>
      </c>
      <c r="B2028" t="s">
        <v>25</v>
      </c>
      <c r="C2028" t="s">
        <v>35</v>
      </c>
      <c r="D2028">
        <v>0.14285714285714285</v>
      </c>
      <c r="E2028">
        <v>0.85714285714285721</v>
      </c>
      <c r="F2028">
        <v>328.15</v>
      </c>
      <c r="G2028">
        <v>443.3</v>
      </c>
      <c r="H2028">
        <f t="shared" si="124"/>
        <v>-4.63</v>
      </c>
      <c r="I2028">
        <v>9.7547591023429032E-3</v>
      </c>
      <c r="J2028" t="str">
        <f t="shared" si="125"/>
        <v>C[N+](C)(C)CC(=O)[O-]CC(CO)O</v>
      </c>
      <c r="K2028">
        <v>72</v>
      </c>
      <c r="M2028">
        <f t="shared" si="126"/>
        <v>1.2296129867561181</v>
      </c>
      <c r="N2028">
        <f t="shared" si="127"/>
        <v>-0.37342765158183439</v>
      </c>
    </row>
    <row r="2029" spans="1:14" x14ac:dyDescent="0.35">
      <c r="A2029">
        <v>2027</v>
      </c>
      <c r="B2029" t="s">
        <v>25</v>
      </c>
      <c r="C2029" t="s">
        <v>35</v>
      </c>
      <c r="D2029">
        <v>0.14285714285714285</v>
      </c>
      <c r="E2029">
        <v>0.85714285714285721</v>
      </c>
      <c r="F2029">
        <v>328.15</v>
      </c>
      <c r="G2029">
        <v>552.79999999999995</v>
      </c>
      <c r="H2029">
        <f t="shared" si="124"/>
        <v>-4.3600000000000003</v>
      </c>
      <c r="I2029">
        <v>1.2778387649535761E-2</v>
      </c>
      <c r="J2029" t="str">
        <f t="shared" si="125"/>
        <v>C[N+](C)(C)CC(=O)[O-]CC(CO)O</v>
      </c>
      <c r="K2029">
        <v>72</v>
      </c>
      <c r="M2029">
        <f t="shared" si="126"/>
        <v>1.2296129867561181</v>
      </c>
      <c r="N2029">
        <f t="shared" si="127"/>
        <v>-0.31218589034898531</v>
      </c>
    </row>
    <row r="2030" spans="1:14" x14ac:dyDescent="0.35">
      <c r="A2030">
        <v>2028</v>
      </c>
      <c r="B2030" t="s">
        <v>25</v>
      </c>
      <c r="C2030" t="s">
        <v>35</v>
      </c>
      <c r="D2030">
        <v>0.14285714285714285</v>
      </c>
      <c r="E2030">
        <v>0.85714285714285721</v>
      </c>
      <c r="F2030">
        <v>328.15</v>
      </c>
      <c r="G2030">
        <v>663.3</v>
      </c>
      <c r="H2030">
        <f t="shared" si="124"/>
        <v>-4.1900000000000004</v>
      </c>
      <c r="I2030">
        <v>1.514628487304698E-2</v>
      </c>
      <c r="J2030" t="str">
        <f t="shared" si="125"/>
        <v>C[N+](C)(C)CC(=O)[O-]CC(CO)O</v>
      </c>
      <c r="K2030">
        <v>72</v>
      </c>
      <c r="M2030">
        <f t="shared" si="126"/>
        <v>1.2296129867561181</v>
      </c>
      <c r="N2030">
        <f t="shared" si="127"/>
        <v>-0.25038484362542524</v>
      </c>
    </row>
    <row r="2031" spans="1:14" x14ac:dyDescent="0.35">
      <c r="A2031">
        <v>2029</v>
      </c>
      <c r="B2031" t="s">
        <v>25</v>
      </c>
      <c r="C2031" t="s">
        <v>35</v>
      </c>
      <c r="D2031">
        <v>0.14285714285714285</v>
      </c>
      <c r="E2031">
        <v>0.85714285714285721</v>
      </c>
      <c r="F2031">
        <v>338.15</v>
      </c>
      <c r="G2031">
        <v>217.3</v>
      </c>
      <c r="H2031">
        <f t="shared" si="124"/>
        <v>-5.5</v>
      </c>
      <c r="I2031">
        <v>4.0867714384640666E-3</v>
      </c>
      <c r="J2031" t="str">
        <f t="shared" si="125"/>
        <v>C[N+](C)(C)CC(=O)[O-]CC(CO)O</v>
      </c>
      <c r="K2031">
        <v>72</v>
      </c>
      <c r="M2031">
        <f t="shared" si="126"/>
        <v>2.0133296633035633</v>
      </c>
      <c r="N2031">
        <f t="shared" si="127"/>
        <v>-0.49982617248250921</v>
      </c>
    </row>
    <row r="2032" spans="1:14" x14ac:dyDescent="0.35">
      <c r="A2032">
        <v>2030</v>
      </c>
      <c r="B2032" t="s">
        <v>25</v>
      </c>
      <c r="C2032" t="s">
        <v>35</v>
      </c>
      <c r="D2032">
        <v>0.14285714285714285</v>
      </c>
      <c r="E2032">
        <v>0.85714285714285721</v>
      </c>
      <c r="F2032">
        <v>338.15</v>
      </c>
      <c r="G2032">
        <v>346.5</v>
      </c>
      <c r="H2032">
        <f t="shared" si="124"/>
        <v>-5.04</v>
      </c>
      <c r="I2032">
        <v>6.4737483182894049E-3</v>
      </c>
      <c r="J2032" t="str">
        <f t="shared" si="125"/>
        <v>C[N+](C)(C)CC(=O)[O-]CC(CO)O</v>
      </c>
      <c r="K2032">
        <v>72</v>
      </c>
      <c r="M2032">
        <f t="shared" si="126"/>
        <v>2.0133296633035633</v>
      </c>
      <c r="N2032">
        <f t="shared" si="127"/>
        <v>-0.42756648708265438</v>
      </c>
    </row>
    <row r="2033" spans="1:14" x14ac:dyDescent="0.35">
      <c r="A2033">
        <v>2031</v>
      </c>
      <c r="B2033" t="s">
        <v>25</v>
      </c>
      <c r="C2033" t="s">
        <v>35</v>
      </c>
      <c r="D2033">
        <v>0.14285714285714285</v>
      </c>
      <c r="E2033">
        <v>0.85714285714285721</v>
      </c>
      <c r="F2033">
        <v>338.15</v>
      </c>
      <c r="G2033">
        <v>461.8</v>
      </c>
      <c r="H2033">
        <f t="shared" si="124"/>
        <v>-4.7</v>
      </c>
      <c r="I2033">
        <v>9.0952771016958155E-3</v>
      </c>
      <c r="J2033" t="str">
        <f t="shared" si="125"/>
        <v>C[N+](C)(C)CC(=O)[O-]CC(CO)O</v>
      </c>
      <c r="K2033">
        <v>72</v>
      </c>
      <c r="M2033">
        <f t="shared" si="126"/>
        <v>2.0133296633035633</v>
      </c>
      <c r="N2033">
        <f t="shared" si="127"/>
        <v>-0.36308087000368178</v>
      </c>
    </row>
    <row r="2034" spans="1:14" x14ac:dyDescent="0.35">
      <c r="A2034">
        <v>2032</v>
      </c>
      <c r="B2034" t="s">
        <v>25</v>
      </c>
      <c r="C2034" t="s">
        <v>35</v>
      </c>
      <c r="D2034">
        <v>0.14285714285714285</v>
      </c>
      <c r="E2034">
        <v>0.85714285714285721</v>
      </c>
      <c r="F2034">
        <v>338.15</v>
      </c>
      <c r="G2034">
        <v>576</v>
      </c>
      <c r="H2034">
        <f t="shared" si="124"/>
        <v>-4.43</v>
      </c>
      <c r="I2034">
        <v>1.1914489672789647E-2</v>
      </c>
      <c r="J2034" t="str">
        <f t="shared" si="125"/>
        <v>C[N+](C)(C)CC(=O)[O-]CC(CO)O</v>
      </c>
      <c r="K2034">
        <v>72</v>
      </c>
      <c r="M2034">
        <f t="shared" si="126"/>
        <v>2.0133296633035633</v>
      </c>
      <c r="N2034">
        <f t="shared" si="127"/>
        <v>-0.29921046696449122</v>
      </c>
    </row>
    <row r="2035" spans="1:14" x14ac:dyDescent="0.35">
      <c r="A2035">
        <v>2033</v>
      </c>
      <c r="B2035" t="s">
        <v>25</v>
      </c>
      <c r="C2035" t="s">
        <v>35</v>
      </c>
      <c r="D2035">
        <v>0.14285714285714285</v>
      </c>
      <c r="E2035">
        <v>0.85714285714285721</v>
      </c>
      <c r="F2035">
        <v>338.15</v>
      </c>
      <c r="G2035">
        <v>691.5</v>
      </c>
      <c r="H2035">
        <f t="shared" si="124"/>
        <v>-4.25</v>
      </c>
      <c r="I2035">
        <v>1.4264233908999256E-2</v>
      </c>
      <c r="J2035" t="str">
        <f t="shared" si="125"/>
        <v>C[N+](C)(C)CC(=O)[O-]CC(CO)O</v>
      </c>
      <c r="K2035">
        <v>72</v>
      </c>
      <c r="M2035">
        <f t="shared" si="126"/>
        <v>2.0133296633035633</v>
      </c>
      <c r="N2035">
        <f t="shared" si="127"/>
        <v>-0.23461299278737643</v>
      </c>
    </row>
    <row r="2036" spans="1:14" x14ac:dyDescent="0.35">
      <c r="A2036">
        <v>2034</v>
      </c>
      <c r="B2036" t="s">
        <v>25</v>
      </c>
      <c r="C2036" t="s">
        <v>35</v>
      </c>
      <c r="D2036">
        <v>0.14285714285714285</v>
      </c>
      <c r="E2036">
        <v>0.85714285714285721</v>
      </c>
      <c r="F2036">
        <v>348.15</v>
      </c>
      <c r="G2036">
        <v>226</v>
      </c>
      <c r="H2036">
        <f t="shared" si="124"/>
        <v>-5.57</v>
      </c>
      <c r="I2036">
        <v>3.810480432592037E-3</v>
      </c>
      <c r="J2036" t="str">
        <f t="shared" si="125"/>
        <v>C[N+](C)(C)CC(=O)[O-]CC(CO)O</v>
      </c>
      <c r="K2036">
        <v>72</v>
      </c>
      <c r="M2036">
        <f t="shared" si="126"/>
        <v>2.7970463398510086</v>
      </c>
      <c r="N2036">
        <f t="shared" si="127"/>
        <v>-0.49496038871332387</v>
      </c>
    </row>
    <row r="2037" spans="1:14" x14ac:dyDescent="0.35">
      <c r="A2037">
        <v>2035</v>
      </c>
      <c r="B2037" t="s">
        <v>25</v>
      </c>
      <c r="C2037" t="s">
        <v>35</v>
      </c>
      <c r="D2037">
        <v>0.14285714285714285</v>
      </c>
      <c r="E2037">
        <v>0.85714285714285721</v>
      </c>
      <c r="F2037">
        <v>348.15</v>
      </c>
      <c r="G2037">
        <v>360.3</v>
      </c>
      <c r="H2037">
        <f t="shared" si="124"/>
        <v>-5.12</v>
      </c>
      <c r="I2037">
        <v>5.9760228950059427E-3</v>
      </c>
      <c r="J2037" t="str">
        <f t="shared" si="125"/>
        <v>C[N+](C)(C)CC(=O)[O-]CC(CO)O</v>
      </c>
      <c r="K2037">
        <v>72</v>
      </c>
      <c r="M2037">
        <f t="shared" si="126"/>
        <v>2.7970463398510086</v>
      </c>
      <c r="N2037">
        <f t="shared" si="127"/>
        <v>-0.41984834731084325</v>
      </c>
    </row>
    <row r="2038" spans="1:14" x14ac:dyDescent="0.35">
      <c r="A2038">
        <v>2036</v>
      </c>
      <c r="B2038" t="s">
        <v>25</v>
      </c>
      <c r="C2038" t="s">
        <v>35</v>
      </c>
      <c r="D2038">
        <v>0.14285714285714285</v>
      </c>
      <c r="E2038">
        <v>0.85714285714285721</v>
      </c>
      <c r="F2038">
        <v>348.15</v>
      </c>
      <c r="G2038">
        <v>480.5</v>
      </c>
      <c r="H2038">
        <f t="shared" si="124"/>
        <v>-4.78</v>
      </c>
      <c r="I2038">
        <v>8.3959989674914706E-3</v>
      </c>
      <c r="J2038" t="str">
        <f t="shared" si="125"/>
        <v>C[N+](C)(C)CC(=O)[O-]CC(CO)O</v>
      </c>
      <c r="K2038">
        <v>72</v>
      </c>
      <c r="M2038">
        <f t="shared" si="126"/>
        <v>2.7970463398510086</v>
      </c>
      <c r="N2038">
        <f t="shared" si="127"/>
        <v>-0.35262223132738701</v>
      </c>
    </row>
    <row r="2039" spans="1:14" x14ac:dyDescent="0.35">
      <c r="A2039">
        <v>2037</v>
      </c>
      <c r="B2039" t="s">
        <v>25</v>
      </c>
      <c r="C2039" t="s">
        <v>35</v>
      </c>
      <c r="D2039">
        <v>0.14285714285714285</v>
      </c>
      <c r="E2039">
        <v>0.85714285714285721</v>
      </c>
      <c r="F2039">
        <v>348.15</v>
      </c>
      <c r="G2039">
        <v>599.29999999999995</v>
      </c>
      <c r="H2039">
        <f t="shared" si="124"/>
        <v>-4.5</v>
      </c>
      <c r="I2039">
        <v>1.1108996538242306E-2</v>
      </c>
      <c r="J2039" t="str">
        <f t="shared" si="125"/>
        <v>C[N+](C)(C)CC(=O)[O-]CC(CO)O</v>
      </c>
      <c r="K2039">
        <v>72</v>
      </c>
      <c r="M2039">
        <f t="shared" si="126"/>
        <v>2.7970463398510086</v>
      </c>
      <c r="N2039">
        <f t="shared" si="127"/>
        <v>-0.28617911503092608</v>
      </c>
    </row>
    <row r="2040" spans="1:14" x14ac:dyDescent="0.35">
      <c r="A2040">
        <v>2038</v>
      </c>
      <c r="B2040" t="s">
        <v>25</v>
      </c>
      <c r="C2040" t="s">
        <v>35</v>
      </c>
      <c r="D2040">
        <v>0.14285714285714285</v>
      </c>
      <c r="E2040">
        <v>0.85714285714285721</v>
      </c>
      <c r="F2040">
        <v>348.15</v>
      </c>
      <c r="G2040">
        <v>719</v>
      </c>
      <c r="H2040">
        <f t="shared" si="124"/>
        <v>-4.32</v>
      </c>
      <c r="I2040">
        <v>1.3299883542443767E-2</v>
      </c>
      <c r="J2040" t="str">
        <f t="shared" si="125"/>
        <v>C[N+](C)(C)CC(=O)[O-]CC(CO)O</v>
      </c>
      <c r="K2040">
        <v>72</v>
      </c>
      <c r="M2040">
        <f t="shared" si="126"/>
        <v>2.7970463398510086</v>
      </c>
      <c r="N2040">
        <f t="shared" si="127"/>
        <v>-0.21923264179282528</v>
      </c>
    </row>
    <row r="2041" spans="1:14" x14ac:dyDescent="0.35">
      <c r="A2041">
        <v>2039</v>
      </c>
      <c r="B2041" t="s">
        <v>25</v>
      </c>
      <c r="C2041" t="s">
        <v>45</v>
      </c>
      <c r="D2041">
        <v>0.14285714285714285</v>
      </c>
      <c r="E2041">
        <v>0.85714285714285721</v>
      </c>
      <c r="F2041">
        <v>308.14999999999998</v>
      </c>
      <c r="G2041">
        <v>202.8</v>
      </c>
      <c r="H2041">
        <f t="shared" si="124"/>
        <v>-4.87</v>
      </c>
      <c r="I2041">
        <v>7.6733652878954893E-3</v>
      </c>
      <c r="J2041" t="str">
        <f t="shared" si="125"/>
        <v>C[N+](C)(C)CC(=O)[O-]C(COCCO)O</v>
      </c>
      <c r="K2041">
        <v>71</v>
      </c>
      <c r="M2041">
        <f t="shared" si="126"/>
        <v>-0.33782036633877249</v>
      </c>
      <c r="N2041">
        <f t="shared" si="127"/>
        <v>-0.50793581209781802</v>
      </c>
    </row>
    <row r="2042" spans="1:14" x14ac:dyDescent="0.35">
      <c r="A2042">
        <v>2040</v>
      </c>
      <c r="B2042" t="s">
        <v>25</v>
      </c>
      <c r="C2042" t="s">
        <v>45</v>
      </c>
      <c r="D2042">
        <v>0.14285714285714285</v>
      </c>
      <c r="E2042">
        <v>0.85714285714285721</v>
      </c>
      <c r="F2042">
        <v>308.14999999999998</v>
      </c>
      <c r="G2042">
        <v>312.5</v>
      </c>
      <c r="H2042">
        <f t="shared" si="124"/>
        <v>-4.43</v>
      </c>
      <c r="I2042">
        <v>1.1914489672789647E-2</v>
      </c>
      <c r="J2042" t="str">
        <f t="shared" si="125"/>
        <v>C[N+](C)(C)CC(=O)[O-]C(COCCO)O</v>
      </c>
      <c r="K2042">
        <v>71</v>
      </c>
      <c r="M2042">
        <f t="shared" si="126"/>
        <v>-0.33782036633877249</v>
      </c>
      <c r="N2042">
        <f t="shared" si="127"/>
        <v>-0.44658219376682667</v>
      </c>
    </row>
    <row r="2043" spans="1:14" x14ac:dyDescent="0.35">
      <c r="A2043">
        <v>2041</v>
      </c>
      <c r="B2043" t="s">
        <v>25</v>
      </c>
      <c r="C2043" t="s">
        <v>45</v>
      </c>
      <c r="D2043">
        <v>0.14285714285714285</v>
      </c>
      <c r="E2043">
        <v>0.85714285714285721</v>
      </c>
      <c r="F2043">
        <v>308.14999999999998</v>
      </c>
      <c r="G2043">
        <v>413.3</v>
      </c>
      <c r="H2043">
        <f t="shared" si="124"/>
        <v>-4.12</v>
      </c>
      <c r="I2043">
        <v>1.6244514441949871E-2</v>
      </c>
      <c r="J2043" t="str">
        <f t="shared" si="125"/>
        <v>C[N+](C)(C)CC(=O)[O-]C(COCCO)O</v>
      </c>
      <c r="K2043">
        <v>71</v>
      </c>
      <c r="M2043">
        <f t="shared" si="126"/>
        <v>-0.33782036633877249</v>
      </c>
      <c r="N2043">
        <f t="shared" si="127"/>
        <v>-0.39020621630316288</v>
      </c>
    </row>
    <row r="2044" spans="1:14" x14ac:dyDescent="0.35">
      <c r="A2044">
        <v>2042</v>
      </c>
      <c r="B2044" t="s">
        <v>25</v>
      </c>
      <c r="C2044" t="s">
        <v>45</v>
      </c>
      <c r="D2044">
        <v>0.14285714285714285</v>
      </c>
      <c r="E2044">
        <v>0.85714285714285721</v>
      </c>
      <c r="F2044">
        <v>308.14999999999998</v>
      </c>
      <c r="G2044">
        <v>512.29999999999995</v>
      </c>
      <c r="H2044">
        <f t="shared" si="124"/>
        <v>-3.89</v>
      </c>
      <c r="I2044">
        <v>2.0445346037937653E-2</v>
      </c>
      <c r="J2044" t="str">
        <f t="shared" si="125"/>
        <v>C[N+](C)(C)CC(=O)[O-]C(COCCO)O</v>
      </c>
      <c r="K2044">
        <v>71</v>
      </c>
      <c r="M2044">
        <f t="shared" si="126"/>
        <v>-0.33782036633877249</v>
      </c>
      <c r="N2044">
        <f t="shared" si="127"/>
        <v>-0.3348369527227788</v>
      </c>
    </row>
    <row r="2045" spans="1:14" x14ac:dyDescent="0.35">
      <c r="A2045">
        <v>2043</v>
      </c>
      <c r="B2045" t="s">
        <v>25</v>
      </c>
      <c r="C2045" t="s">
        <v>45</v>
      </c>
      <c r="D2045">
        <v>0.14285714285714285</v>
      </c>
      <c r="E2045">
        <v>0.85714285714285721</v>
      </c>
      <c r="F2045">
        <v>308.14999999999998</v>
      </c>
      <c r="G2045">
        <v>622</v>
      </c>
      <c r="H2045">
        <f t="shared" si="124"/>
        <v>-3.68</v>
      </c>
      <c r="I2045">
        <v>2.5222974835227212E-2</v>
      </c>
      <c r="J2045" t="str">
        <f t="shared" si="125"/>
        <v>C[N+](C)(C)CC(=O)[O-]C(COCCO)O</v>
      </c>
      <c r="K2045">
        <v>71</v>
      </c>
      <c r="M2045">
        <f t="shared" si="126"/>
        <v>-0.33782036633877249</v>
      </c>
      <c r="N2045">
        <f t="shared" si="127"/>
        <v>-0.27348333439178751</v>
      </c>
    </row>
    <row r="2046" spans="1:14" x14ac:dyDescent="0.35">
      <c r="A2046">
        <v>2044</v>
      </c>
      <c r="B2046" t="s">
        <v>25</v>
      </c>
      <c r="C2046" t="s">
        <v>45</v>
      </c>
      <c r="D2046">
        <v>0.14285714285714285</v>
      </c>
      <c r="E2046">
        <v>0.85714285714285721</v>
      </c>
      <c r="F2046">
        <v>318.14999999999998</v>
      </c>
      <c r="G2046">
        <v>214.5</v>
      </c>
      <c r="H2046">
        <f t="shared" si="124"/>
        <v>-5.0199999999999996</v>
      </c>
      <c r="I2046">
        <v>6.6045267093148112E-3</v>
      </c>
      <c r="J2046" t="str">
        <f t="shared" si="125"/>
        <v>C[N+](C)(C)CC(=O)[O-]C(COCCO)O</v>
      </c>
      <c r="K2046">
        <v>71</v>
      </c>
      <c r="M2046">
        <f t="shared" si="126"/>
        <v>0.44589631020867276</v>
      </c>
      <c r="N2046">
        <f t="shared" si="127"/>
        <v>-0.50139217185649987</v>
      </c>
    </row>
    <row r="2047" spans="1:14" x14ac:dyDescent="0.35">
      <c r="A2047">
        <v>2045</v>
      </c>
      <c r="B2047" t="s">
        <v>25</v>
      </c>
      <c r="C2047" t="s">
        <v>45</v>
      </c>
      <c r="D2047">
        <v>0.14285714285714285</v>
      </c>
      <c r="E2047">
        <v>0.85714285714285721</v>
      </c>
      <c r="F2047">
        <v>318.14999999999998</v>
      </c>
      <c r="G2047">
        <v>330.5</v>
      </c>
      <c r="H2047">
        <f t="shared" si="124"/>
        <v>-4.5599999999999996</v>
      </c>
      <c r="I2047">
        <v>1.0462058943426803E-2</v>
      </c>
      <c r="J2047" t="str">
        <f t="shared" si="125"/>
        <v>C[N+](C)(C)CC(=O)[O-]C(COCCO)O</v>
      </c>
      <c r="K2047">
        <v>71</v>
      </c>
      <c r="M2047">
        <f t="shared" si="126"/>
        <v>0.44589631020867276</v>
      </c>
      <c r="N2047">
        <f t="shared" si="127"/>
        <v>-0.43651505493402959</v>
      </c>
    </row>
    <row r="2048" spans="1:14" x14ac:dyDescent="0.35">
      <c r="A2048">
        <v>2046</v>
      </c>
      <c r="B2048" t="s">
        <v>25</v>
      </c>
      <c r="C2048" t="s">
        <v>45</v>
      </c>
      <c r="D2048">
        <v>0.14285714285714285</v>
      </c>
      <c r="E2048">
        <v>0.85714285714285721</v>
      </c>
      <c r="F2048">
        <v>318.14999999999998</v>
      </c>
      <c r="G2048">
        <v>437.3</v>
      </c>
      <c r="H2048">
        <f t="shared" si="124"/>
        <v>-4.25</v>
      </c>
      <c r="I2048">
        <v>1.4264233908999256E-2</v>
      </c>
      <c r="J2048" t="str">
        <f t="shared" si="125"/>
        <v>C[N+](C)(C)CC(=O)[O-]C(COCCO)O</v>
      </c>
      <c r="K2048">
        <v>71</v>
      </c>
      <c r="M2048">
        <f t="shared" si="126"/>
        <v>0.44589631020867276</v>
      </c>
      <c r="N2048">
        <f t="shared" si="127"/>
        <v>-0.37678336452610006</v>
      </c>
    </row>
    <row r="2049" spans="1:14" x14ac:dyDescent="0.35">
      <c r="A2049">
        <v>2047</v>
      </c>
      <c r="B2049" t="s">
        <v>25</v>
      </c>
      <c r="C2049" t="s">
        <v>45</v>
      </c>
      <c r="D2049">
        <v>0.14285714285714285</v>
      </c>
      <c r="E2049">
        <v>0.85714285714285721</v>
      </c>
      <c r="F2049">
        <v>318.14999999999998</v>
      </c>
      <c r="G2049">
        <v>540.79999999999995</v>
      </c>
      <c r="H2049">
        <f t="shared" si="124"/>
        <v>-4.01</v>
      </c>
      <c r="I2049">
        <v>1.8133395236801075E-2</v>
      </c>
      <c r="J2049" t="str">
        <f t="shared" si="125"/>
        <v>C[N+](C)(C)CC(=O)[O-]C(COCCO)O</v>
      </c>
      <c r="K2049">
        <v>71</v>
      </c>
      <c r="M2049">
        <f t="shared" si="126"/>
        <v>0.44589631020867276</v>
      </c>
      <c r="N2049">
        <f t="shared" si="127"/>
        <v>-0.31889731623751671</v>
      </c>
    </row>
    <row r="2050" spans="1:14" x14ac:dyDescent="0.35">
      <c r="A2050">
        <v>2048</v>
      </c>
      <c r="B2050" t="s">
        <v>25</v>
      </c>
      <c r="C2050" t="s">
        <v>45</v>
      </c>
      <c r="D2050">
        <v>0.14285714285714285</v>
      </c>
      <c r="E2050">
        <v>0.85714285714285721</v>
      </c>
      <c r="F2050">
        <v>318.14999999999998</v>
      </c>
      <c r="G2050">
        <v>656</v>
      </c>
      <c r="H2050">
        <f t="shared" si="124"/>
        <v>-3.78</v>
      </c>
      <c r="I2050">
        <v>2.2822691425092981E-2</v>
      </c>
      <c r="J2050" t="str">
        <f t="shared" si="125"/>
        <v>C[N+](C)(C)CC(=O)[O-]C(COCCO)O</v>
      </c>
      <c r="K2050">
        <v>71</v>
      </c>
      <c r="M2050">
        <f t="shared" si="126"/>
        <v>0.44589631020867276</v>
      </c>
      <c r="N2050">
        <f t="shared" si="127"/>
        <v>-0.25446762770761516</v>
      </c>
    </row>
    <row r="2051" spans="1:14" x14ac:dyDescent="0.35">
      <c r="A2051">
        <v>2049</v>
      </c>
      <c r="B2051" t="s">
        <v>25</v>
      </c>
      <c r="C2051" t="s">
        <v>45</v>
      </c>
      <c r="D2051">
        <v>0.14285714285714285</v>
      </c>
      <c r="E2051">
        <v>0.85714285714285721</v>
      </c>
      <c r="F2051">
        <v>328.15</v>
      </c>
      <c r="G2051">
        <v>226</v>
      </c>
      <c r="H2051">
        <f t="shared" ref="H2051:H2114" si="128">LN(I2051)</f>
        <v>-5.15</v>
      </c>
      <c r="I2051">
        <v>5.7994047268421414E-3</v>
      </c>
      <c r="J2051" t="str">
        <f t="shared" ref="J2051:J2114" si="129">_xlfn.CONCAT(B2051,C2051)</f>
        <v>C[N+](C)(C)CC(=O)[O-]C(COCCO)O</v>
      </c>
      <c r="K2051">
        <v>71</v>
      </c>
      <c r="M2051">
        <f t="shared" ref="M2051:M2114" si="130">(F2051-$L$3)/$L$2</f>
        <v>1.2296129867561181</v>
      </c>
      <c r="N2051">
        <f t="shared" ref="N2051:N2114" si="131">(G2051-$L$6)/$L$5</f>
        <v>-0.49496038871332387</v>
      </c>
    </row>
    <row r="2052" spans="1:14" x14ac:dyDescent="0.35">
      <c r="A2052">
        <v>2050</v>
      </c>
      <c r="B2052" t="s">
        <v>25</v>
      </c>
      <c r="C2052" t="s">
        <v>45</v>
      </c>
      <c r="D2052">
        <v>0.14285714285714285</v>
      </c>
      <c r="E2052">
        <v>0.85714285714285721</v>
      </c>
      <c r="F2052">
        <v>328.15</v>
      </c>
      <c r="G2052">
        <v>348</v>
      </c>
      <c r="H2052">
        <f t="shared" si="128"/>
        <v>-4.6900000000000004</v>
      </c>
      <c r="I2052">
        <v>9.1866861562446642E-3</v>
      </c>
      <c r="J2052" t="str">
        <f t="shared" si="129"/>
        <v>C[N+](C)(C)CC(=O)[O-]C(COCCO)O</v>
      </c>
      <c r="K2052">
        <v>71</v>
      </c>
      <c r="M2052">
        <f t="shared" si="130"/>
        <v>1.2296129867561181</v>
      </c>
      <c r="N2052">
        <f t="shared" si="131"/>
        <v>-0.42672755884658792</v>
      </c>
    </row>
    <row r="2053" spans="1:14" x14ac:dyDescent="0.35">
      <c r="A2053">
        <v>2051</v>
      </c>
      <c r="B2053" t="s">
        <v>25</v>
      </c>
      <c r="C2053" t="s">
        <v>45</v>
      </c>
      <c r="D2053">
        <v>0.14285714285714285</v>
      </c>
      <c r="E2053">
        <v>0.85714285714285721</v>
      </c>
      <c r="F2053">
        <v>328.15</v>
      </c>
      <c r="G2053">
        <v>460.5</v>
      </c>
      <c r="H2053">
        <f t="shared" si="128"/>
        <v>-4.37</v>
      </c>
      <c r="I2053">
        <v>1.2651240568005305E-2</v>
      </c>
      <c r="J2053" t="str">
        <f t="shared" si="129"/>
        <v>C[N+](C)(C)CC(=O)[O-]C(COCCO)O</v>
      </c>
      <c r="K2053">
        <v>71</v>
      </c>
      <c r="M2053">
        <f t="shared" si="130"/>
        <v>1.2296129867561181</v>
      </c>
      <c r="N2053">
        <f t="shared" si="131"/>
        <v>-0.36380794114160597</v>
      </c>
    </row>
    <row r="2054" spans="1:14" x14ac:dyDescent="0.35">
      <c r="A2054">
        <v>2052</v>
      </c>
      <c r="B2054" t="s">
        <v>25</v>
      </c>
      <c r="C2054" t="s">
        <v>45</v>
      </c>
      <c r="D2054">
        <v>0.14285714285714285</v>
      </c>
      <c r="E2054">
        <v>0.85714285714285721</v>
      </c>
      <c r="F2054">
        <v>328.15</v>
      </c>
      <c r="G2054">
        <v>593.29999999999995</v>
      </c>
      <c r="H2054">
        <f t="shared" si="128"/>
        <v>-4.12</v>
      </c>
      <c r="I2054">
        <v>1.6244514441949871E-2</v>
      </c>
      <c r="J2054" t="str">
        <f t="shared" si="129"/>
        <v>C[N+](C)(C)CC(=O)[O-]C(COCCO)O</v>
      </c>
      <c r="K2054">
        <v>71</v>
      </c>
      <c r="M2054">
        <f t="shared" si="130"/>
        <v>1.2296129867561181</v>
      </c>
      <c r="N2054">
        <f t="shared" si="131"/>
        <v>-0.28953482797519181</v>
      </c>
    </row>
    <row r="2055" spans="1:14" x14ac:dyDescent="0.35">
      <c r="A2055">
        <v>2053</v>
      </c>
      <c r="B2055" t="s">
        <v>25</v>
      </c>
      <c r="C2055" t="s">
        <v>45</v>
      </c>
      <c r="D2055">
        <v>0.14285714285714285</v>
      </c>
      <c r="E2055">
        <v>0.85714285714285721</v>
      </c>
      <c r="F2055">
        <v>328.15</v>
      </c>
      <c r="G2055">
        <v>692</v>
      </c>
      <c r="H2055">
        <f t="shared" si="128"/>
        <v>-3.9</v>
      </c>
      <c r="I2055">
        <v>2.0241911445804391E-2</v>
      </c>
      <c r="J2055" t="str">
        <f t="shared" si="129"/>
        <v>C[N+](C)(C)CC(=O)[O-]C(COCCO)O</v>
      </c>
      <c r="K2055">
        <v>71</v>
      </c>
      <c r="M2055">
        <f t="shared" si="130"/>
        <v>1.2296129867561181</v>
      </c>
      <c r="N2055">
        <f t="shared" si="131"/>
        <v>-0.23433335004202097</v>
      </c>
    </row>
    <row r="2056" spans="1:14" x14ac:dyDescent="0.35">
      <c r="A2056">
        <v>2054</v>
      </c>
      <c r="B2056" t="s">
        <v>25</v>
      </c>
      <c r="C2056" t="s">
        <v>45</v>
      </c>
      <c r="D2056">
        <v>0.14285714285714285</v>
      </c>
      <c r="E2056">
        <v>0.85714285714285721</v>
      </c>
      <c r="F2056">
        <v>338.15</v>
      </c>
      <c r="G2056">
        <v>237</v>
      </c>
      <c r="H2056">
        <f t="shared" si="128"/>
        <v>-5.28</v>
      </c>
      <c r="I2056">
        <v>5.0924307926991904E-3</v>
      </c>
      <c r="J2056" t="str">
        <f t="shared" si="129"/>
        <v>C[N+](C)(C)CC(=O)[O-]C(COCCO)O</v>
      </c>
      <c r="K2056">
        <v>71</v>
      </c>
      <c r="M2056">
        <f t="shared" si="130"/>
        <v>2.0133296633035633</v>
      </c>
      <c r="N2056">
        <f t="shared" si="131"/>
        <v>-0.48880824831550346</v>
      </c>
    </row>
    <row r="2057" spans="1:14" x14ac:dyDescent="0.35">
      <c r="A2057">
        <v>2055</v>
      </c>
      <c r="B2057" t="s">
        <v>25</v>
      </c>
      <c r="C2057" t="s">
        <v>45</v>
      </c>
      <c r="D2057">
        <v>0.14285714285714285</v>
      </c>
      <c r="E2057">
        <v>0.85714285714285721</v>
      </c>
      <c r="F2057">
        <v>338.15</v>
      </c>
      <c r="G2057">
        <v>364.8</v>
      </c>
      <c r="H2057">
        <f t="shared" si="128"/>
        <v>-4.8</v>
      </c>
      <c r="I2057">
        <v>8.2297470490200302E-3</v>
      </c>
      <c r="J2057" t="str">
        <f t="shared" si="129"/>
        <v>C[N+](C)(C)CC(=O)[O-]C(COCCO)O</v>
      </c>
      <c r="K2057">
        <v>71</v>
      </c>
      <c r="M2057">
        <f t="shared" si="130"/>
        <v>2.0133296633035633</v>
      </c>
      <c r="N2057">
        <f t="shared" si="131"/>
        <v>-0.41733156260264398</v>
      </c>
    </row>
    <row r="2058" spans="1:14" x14ac:dyDescent="0.35">
      <c r="A2058">
        <v>2056</v>
      </c>
      <c r="B2058" t="s">
        <v>25</v>
      </c>
      <c r="C2058" t="s">
        <v>45</v>
      </c>
      <c r="D2058">
        <v>0.14285714285714285</v>
      </c>
      <c r="E2058">
        <v>0.85714285714285721</v>
      </c>
      <c r="F2058">
        <v>338.15</v>
      </c>
      <c r="G2058">
        <v>483</v>
      </c>
      <c r="H2058">
        <f t="shared" si="128"/>
        <v>-4.4800000000000004</v>
      </c>
      <c r="I2058">
        <v>1.1333413154667387E-2</v>
      </c>
      <c r="J2058" t="str">
        <f t="shared" si="129"/>
        <v>C[N+](C)(C)CC(=O)[O-]C(COCCO)O</v>
      </c>
      <c r="K2058">
        <v>71</v>
      </c>
      <c r="M2058">
        <f t="shared" si="130"/>
        <v>2.0133296633035633</v>
      </c>
      <c r="N2058">
        <f t="shared" si="131"/>
        <v>-0.35122401760060962</v>
      </c>
    </row>
    <row r="2059" spans="1:14" x14ac:dyDescent="0.35">
      <c r="A2059">
        <v>2057</v>
      </c>
      <c r="B2059" t="s">
        <v>25</v>
      </c>
      <c r="C2059" t="s">
        <v>45</v>
      </c>
      <c r="D2059">
        <v>0.14285714285714285</v>
      </c>
      <c r="E2059">
        <v>0.85714285714285721</v>
      </c>
      <c r="F2059">
        <v>338.15</v>
      </c>
      <c r="G2059">
        <v>597.5</v>
      </c>
      <c r="H2059">
        <f t="shared" si="128"/>
        <v>-4.2300000000000004</v>
      </c>
      <c r="I2059">
        <v>1.4552390548416123E-2</v>
      </c>
      <c r="J2059" t="str">
        <f t="shared" si="129"/>
        <v>C[N+](C)(C)CC(=O)[O-]C(COCCO)O</v>
      </c>
      <c r="K2059">
        <v>71</v>
      </c>
      <c r="M2059">
        <f t="shared" si="130"/>
        <v>2.0133296633035633</v>
      </c>
      <c r="N2059">
        <f t="shared" si="131"/>
        <v>-0.2871858289142058</v>
      </c>
    </row>
    <row r="2060" spans="1:14" x14ac:dyDescent="0.35">
      <c r="A2060">
        <v>2058</v>
      </c>
      <c r="B2060" t="s">
        <v>25</v>
      </c>
      <c r="C2060" t="s">
        <v>45</v>
      </c>
      <c r="D2060">
        <v>0.14285714285714285</v>
      </c>
      <c r="E2060">
        <v>0.85714285714285721</v>
      </c>
      <c r="F2060">
        <v>338.15</v>
      </c>
      <c r="G2060">
        <v>726.8</v>
      </c>
      <c r="H2060">
        <f t="shared" si="128"/>
        <v>-4.01</v>
      </c>
      <c r="I2060">
        <v>1.8133395236801075E-2</v>
      </c>
      <c r="J2060" t="str">
        <f t="shared" si="129"/>
        <v>C[N+](C)(C)CC(=O)[O-]C(COCCO)O</v>
      </c>
      <c r="K2060">
        <v>71</v>
      </c>
      <c r="M2060">
        <f t="shared" si="130"/>
        <v>2.0133296633035633</v>
      </c>
      <c r="N2060">
        <f t="shared" si="131"/>
        <v>-0.21487021496527989</v>
      </c>
    </row>
    <row r="2061" spans="1:14" x14ac:dyDescent="0.35">
      <c r="A2061">
        <v>2059</v>
      </c>
      <c r="B2061" t="s">
        <v>25</v>
      </c>
      <c r="C2061" t="s">
        <v>45</v>
      </c>
      <c r="D2061">
        <v>0.14285714285714285</v>
      </c>
      <c r="E2061">
        <v>0.85714285714285721</v>
      </c>
      <c r="F2061">
        <v>348.15</v>
      </c>
      <c r="G2061">
        <v>247.5</v>
      </c>
      <c r="H2061">
        <f t="shared" si="128"/>
        <v>-5.4</v>
      </c>
      <c r="I2061">
        <v>4.5165809426126659E-3</v>
      </c>
      <c r="J2061" t="str">
        <f t="shared" si="129"/>
        <v>C[N+](C)(C)CC(=O)[O-]C(COCCO)O</v>
      </c>
      <c r="K2061">
        <v>71</v>
      </c>
      <c r="M2061">
        <f t="shared" si="130"/>
        <v>2.7970463398510086</v>
      </c>
      <c r="N2061">
        <f t="shared" si="131"/>
        <v>-0.48293575066303845</v>
      </c>
    </row>
    <row r="2062" spans="1:14" x14ac:dyDescent="0.35">
      <c r="A2062">
        <v>2060</v>
      </c>
      <c r="B2062" t="s">
        <v>25</v>
      </c>
      <c r="C2062" t="s">
        <v>45</v>
      </c>
      <c r="D2062">
        <v>0.14285714285714285</v>
      </c>
      <c r="E2062">
        <v>0.85714285714285721</v>
      </c>
      <c r="F2062">
        <v>348.15</v>
      </c>
      <c r="G2062">
        <v>381</v>
      </c>
      <c r="H2062">
        <f t="shared" si="128"/>
        <v>-4.91</v>
      </c>
      <c r="I2062">
        <v>7.372488331368012E-3</v>
      </c>
      <c r="J2062" t="str">
        <f t="shared" si="129"/>
        <v>C[N+](C)(C)CC(=O)[O-]C(COCCO)O</v>
      </c>
      <c r="K2062">
        <v>71</v>
      </c>
      <c r="M2062">
        <f t="shared" si="130"/>
        <v>2.7970463398510086</v>
      </c>
      <c r="N2062">
        <f t="shared" si="131"/>
        <v>-0.40827113765312656</v>
      </c>
    </row>
    <row r="2063" spans="1:14" x14ac:dyDescent="0.35">
      <c r="A2063">
        <v>2061</v>
      </c>
      <c r="B2063" t="s">
        <v>25</v>
      </c>
      <c r="C2063" t="s">
        <v>45</v>
      </c>
      <c r="D2063">
        <v>0.14285714285714285</v>
      </c>
      <c r="E2063">
        <v>0.85714285714285721</v>
      </c>
      <c r="F2063">
        <v>348.15</v>
      </c>
      <c r="G2063">
        <v>504.5</v>
      </c>
      <c r="H2063">
        <f t="shared" si="128"/>
        <v>-4.5999999999999996</v>
      </c>
      <c r="I2063">
        <v>1.0051835744633586E-2</v>
      </c>
      <c r="J2063" t="str">
        <f t="shared" si="129"/>
        <v>C[N+](C)(C)CC(=O)[O-]C(COCCO)O</v>
      </c>
      <c r="K2063">
        <v>71</v>
      </c>
      <c r="M2063">
        <f t="shared" si="130"/>
        <v>2.7970463398510086</v>
      </c>
      <c r="N2063">
        <f t="shared" si="131"/>
        <v>-0.3391993795503242</v>
      </c>
    </row>
    <row r="2064" spans="1:14" x14ac:dyDescent="0.35">
      <c r="A2064">
        <v>2062</v>
      </c>
      <c r="B2064" t="s">
        <v>25</v>
      </c>
      <c r="C2064" t="s">
        <v>45</v>
      </c>
      <c r="D2064">
        <v>0.14285714285714285</v>
      </c>
      <c r="E2064">
        <v>0.85714285714285721</v>
      </c>
      <c r="F2064">
        <v>348.15</v>
      </c>
      <c r="G2064">
        <v>624.29999999999995</v>
      </c>
      <c r="H2064">
        <f t="shared" si="128"/>
        <v>-4.33</v>
      </c>
      <c r="I2064">
        <v>1.3167547490079751E-2</v>
      </c>
      <c r="J2064" t="str">
        <f t="shared" si="129"/>
        <v>C[N+](C)(C)CC(=O)[O-]C(COCCO)O</v>
      </c>
      <c r="K2064">
        <v>71</v>
      </c>
      <c r="M2064">
        <f t="shared" si="130"/>
        <v>2.7970463398510086</v>
      </c>
      <c r="N2064">
        <f t="shared" si="131"/>
        <v>-0.27219697776315233</v>
      </c>
    </row>
    <row r="2065" spans="1:14" x14ac:dyDescent="0.35">
      <c r="A2065">
        <v>2063</v>
      </c>
      <c r="B2065" t="s">
        <v>25</v>
      </c>
      <c r="C2065" t="s">
        <v>45</v>
      </c>
      <c r="D2065">
        <v>0.14285714285714285</v>
      </c>
      <c r="E2065">
        <v>0.85714285714285721</v>
      </c>
      <c r="F2065">
        <v>348.15</v>
      </c>
      <c r="G2065">
        <v>759.8</v>
      </c>
      <c r="H2065">
        <f t="shared" si="128"/>
        <v>-4.1100000000000003</v>
      </c>
      <c r="I2065">
        <v>1.6407774526292645E-2</v>
      </c>
      <c r="J2065" t="str">
        <f t="shared" si="129"/>
        <v>C[N+](C)(C)CC(=O)[O-]C(COCCO)O</v>
      </c>
      <c r="K2065">
        <v>71</v>
      </c>
      <c r="M2065">
        <f t="shared" si="130"/>
        <v>2.7970463398510086</v>
      </c>
      <c r="N2065">
        <f t="shared" si="131"/>
        <v>-0.19641379377181853</v>
      </c>
    </row>
    <row r="2066" spans="1:14" x14ac:dyDescent="0.35">
      <c r="A2066">
        <v>2064</v>
      </c>
      <c r="B2066" t="s">
        <v>25</v>
      </c>
      <c r="C2066" t="s">
        <v>43</v>
      </c>
      <c r="D2066">
        <v>0.14285714285714285</v>
      </c>
      <c r="E2066">
        <v>0.85714285714285721</v>
      </c>
      <c r="F2066">
        <v>313.5</v>
      </c>
      <c r="G2066">
        <v>600</v>
      </c>
      <c r="H2066">
        <f t="shared" si="128"/>
        <v>-2.5</v>
      </c>
      <c r="I2066">
        <v>8.20849986238988E-2</v>
      </c>
      <c r="J2066" t="str">
        <f t="shared" si="129"/>
        <v>C[N+](C)(C)CC(=O)[O-]C(CO)NCCO</v>
      </c>
      <c r="K2066">
        <v>70</v>
      </c>
      <c r="M2066">
        <f t="shared" si="130"/>
        <v>8.1468055614112508E-2</v>
      </c>
      <c r="N2066">
        <f t="shared" si="131"/>
        <v>-0.2857876151874284</v>
      </c>
    </row>
    <row r="2067" spans="1:14" x14ac:dyDescent="0.35">
      <c r="A2067">
        <v>2065</v>
      </c>
      <c r="B2067" t="s">
        <v>7</v>
      </c>
      <c r="C2067" t="s">
        <v>56</v>
      </c>
      <c r="D2067">
        <v>0.14285714285714285</v>
      </c>
      <c r="E2067">
        <v>0.85714285714285721</v>
      </c>
      <c r="F2067">
        <v>303.14999999999998</v>
      </c>
      <c r="G2067">
        <v>445.6</v>
      </c>
      <c r="H2067">
        <f t="shared" si="128"/>
        <v>-2.241489993634235</v>
      </c>
      <c r="I2067">
        <v>0.10630000000000001</v>
      </c>
      <c r="J2067" t="str">
        <f t="shared" si="129"/>
        <v>C[N+](C)(C)CCO.[Cl-]CN(CCO)CCO</v>
      </c>
      <c r="K2067">
        <v>89</v>
      </c>
      <c r="M2067">
        <f t="shared" si="130"/>
        <v>-0.72967870461249518</v>
      </c>
      <c r="N2067">
        <f t="shared" si="131"/>
        <v>-0.37214129495319914</v>
      </c>
    </row>
    <row r="2068" spans="1:14" x14ac:dyDescent="0.35">
      <c r="A2068">
        <v>2066</v>
      </c>
      <c r="B2068" t="s">
        <v>7</v>
      </c>
      <c r="C2068" t="s">
        <v>56</v>
      </c>
      <c r="D2068">
        <v>0.14285714285714285</v>
      </c>
      <c r="E2068">
        <v>0.85714285714285721</v>
      </c>
      <c r="F2068">
        <v>303.14999999999998</v>
      </c>
      <c r="G2068">
        <v>573</v>
      </c>
      <c r="H2068">
        <f t="shared" si="128"/>
        <v>-2.1800000000000002</v>
      </c>
      <c r="I2068">
        <v>0.11304153064044985</v>
      </c>
      <c r="J2068" t="str">
        <f t="shared" si="129"/>
        <v>C[N+](C)(C)CCO.[Cl-]CN(CCO)CCO</v>
      </c>
      <c r="K2068">
        <v>89</v>
      </c>
      <c r="M2068">
        <f t="shared" si="130"/>
        <v>-0.72967870461249518</v>
      </c>
      <c r="N2068">
        <f t="shared" si="131"/>
        <v>-0.30088832343662408</v>
      </c>
    </row>
    <row r="2069" spans="1:14" x14ac:dyDescent="0.35">
      <c r="A2069">
        <v>2067</v>
      </c>
      <c r="B2069" t="s">
        <v>7</v>
      </c>
      <c r="C2069" t="s">
        <v>56</v>
      </c>
      <c r="D2069">
        <v>0.14285714285714285</v>
      </c>
      <c r="E2069">
        <v>0.85714285714285721</v>
      </c>
      <c r="F2069">
        <v>303.14999999999998</v>
      </c>
      <c r="G2069">
        <v>661.7</v>
      </c>
      <c r="H2069">
        <f t="shared" si="128"/>
        <v>-2.1061962789886555</v>
      </c>
      <c r="I2069">
        <v>0.1217</v>
      </c>
      <c r="J2069" t="str">
        <f t="shared" si="129"/>
        <v>C[N+](C)(C)CCO.[Cl-]CN(CCO)CCO</v>
      </c>
      <c r="K2069">
        <v>89</v>
      </c>
      <c r="M2069">
        <f t="shared" si="130"/>
        <v>-0.72967870461249518</v>
      </c>
      <c r="N2069">
        <f t="shared" si="131"/>
        <v>-0.25127970041056275</v>
      </c>
    </row>
    <row r="2070" spans="1:14" x14ac:dyDescent="0.35">
      <c r="A2070">
        <v>2068</v>
      </c>
      <c r="B2070" t="s">
        <v>7</v>
      </c>
      <c r="C2070" t="s">
        <v>56</v>
      </c>
      <c r="D2070">
        <v>0.14285714285714285</v>
      </c>
      <c r="E2070">
        <v>0.85714285714285721</v>
      </c>
      <c r="F2070">
        <v>303.14999999999998</v>
      </c>
      <c r="G2070">
        <v>721</v>
      </c>
      <c r="H2070">
        <f t="shared" si="128"/>
        <v>-1.9863155636903522</v>
      </c>
      <c r="I2070">
        <v>0.13719999999999999</v>
      </c>
      <c r="J2070" t="str">
        <f t="shared" si="129"/>
        <v>C[N+](C)(C)CCO.[Cl-]CN(CCO)CCO</v>
      </c>
      <c r="K2070">
        <v>89</v>
      </c>
      <c r="M2070">
        <f t="shared" si="130"/>
        <v>-0.72967870461249518</v>
      </c>
      <c r="N2070">
        <f t="shared" si="131"/>
        <v>-0.21811407081140338</v>
      </c>
    </row>
    <row r="2071" spans="1:14" x14ac:dyDescent="0.35">
      <c r="A2071">
        <v>2069</v>
      </c>
      <c r="B2071" t="s">
        <v>7</v>
      </c>
      <c r="C2071" t="s">
        <v>56</v>
      </c>
      <c r="D2071">
        <v>0.14285714285714285</v>
      </c>
      <c r="E2071">
        <v>0.85714285714285721</v>
      </c>
      <c r="F2071">
        <v>303.14999999999998</v>
      </c>
      <c r="G2071">
        <v>911.2</v>
      </c>
      <c r="H2071">
        <f t="shared" si="128"/>
        <v>-1.8924641733496872</v>
      </c>
      <c r="I2071">
        <v>0.1507</v>
      </c>
      <c r="J2071" t="str">
        <f t="shared" si="129"/>
        <v>C[N+](C)(C)CCO.[Cl-]CN(CCO)CCO</v>
      </c>
      <c r="K2071">
        <v>89</v>
      </c>
      <c r="M2071">
        <f t="shared" si="130"/>
        <v>-0.72967870461249518</v>
      </c>
      <c r="N2071">
        <f t="shared" si="131"/>
        <v>-0.11173797047818057</v>
      </c>
    </row>
    <row r="2072" spans="1:14" x14ac:dyDescent="0.35">
      <c r="A2072">
        <v>2070</v>
      </c>
      <c r="B2072" t="s">
        <v>7</v>
      </c>
      <c r="C2072" t="s">
        <v>56</v>
      </c>
      <c r="D2072">
        <v>0.14285714285714285</v>
      </c>
      <c r="E2072">
        <v>0.85714285714285721</v>
      </c>
      <c r="F2072">
        <v>303.14999999999998</v>
      </c>
      <c r="G2072">
        <v>1096</v>
      </c>
      <c r="H2072">
        <f t="shared" si="128"/>
        <v>-1.8591821455454891</v>
      </c>
      <c r="I2072">
        <v>0.15579999999999999</v>
      </c>
      <c r="J2072" t="str">
        <f t="shared" si="129"/>
        <v>C[N+](C)(C)CCO.[Cl-]CN(CCO)CCO</v>
      </c>
      <c r="K2072">
        <v>89</v>
      </c>
      <c r="M2072">
        <f t="shared" si="130"/>
        <v>-0.72967870461249518</v>
      </c>
      <c r="N2072">
        <f t="shared" si="131"/>
        <v>-8.38201179479694E-3</v>
      </c>
    </row>
    <row r="2073" spans="1:14" x14ac:dyDescent="0.35">
      <c r="A2073">
        <v>2071</v>
      </c>
      <c r="B2073" t="s">
        <v>7</v>
      </c>
      <c r="C2073" t="s">
        <v>43</v>
      </c>
      <c r="D2073">
        <v>0.14285714285714285</v>
      </c>
      <c r="E2073">
        <v>0.85714285714285721</v>
      </c>
      <c r="F2073">
        <v>303.14999999999998</v>
      </c>
      <c r="G2073">
        <v>523.4</v>
      </c>
      <c r="H2073">
        <f t="shared" si="128"/>
        <v>-3.4357888264317746</v>
      </c>
      <c r="I2073">
        <v>3.2199999999999999E-2</v>
      </c>
      <c r="J2073" t="str">
        <f t="shared" si="129"/>
        <v>C[N+](C)(C)CCO.[Cl-]C(CO)NCCO</v>
      </c>
      <c r="K2073">
        <v>80</v>
      </c>
      <c r="M2073">
        <f t="shared" si="130"/>
        <v>-0.72967870461249518</v>
      </c>
      <c r="N2073">
        <f t="shared" si="131"/>
        <v>-0.32862888377588723</v>
      </c>
    </row>
    <row r="2074" spans="1:14" x14ac:dyDescent="0.35">
      <c r="A2074">
        <v>2072</v>
      </c>
      <c r="B2074" t="s">
        <v>7</v>
      </c>
      <c r="C2074" t="s">
        <v>43</v>
      </c>
      <c r="D2074">
        <v>0.14285714285714285</v>
      </c>
      <c r="E2074">
        <v>0.85714285714285721</v>
      </c>
      <c r="F2074">
        <v>303.14999999999998</v>
      </c>
      <c r="G2074">
        <v>663.5</v>
      </c>
      <c r="H2074">
        <f t="shared" si="128"/>
        <v>-2.985781942700823</v>
      </c>
      <c r="I2074">
        <v>5.0500000000000003E-2</v>
      </c>
      <c r="J2074" t="str">
        <f t="shared" si="129"/>
        <v>C[N+](C)(C)CCO.[Cl-]C(CO)NCCO</v>
      </c>
      <c r="K2074">
        <v>80</v>
      </c>
      <c r="M2074">
        <f t="shared" si="130"/>
        <v>-0.72967870461249518</v>
      </c>
      <c r="N2074">
        <f t="shared" si="131"/>
        <v>-0.25027298652728303</v>
      </c>
    </row>
    <row r="2075" spans="1:14" x14ac:dyDescent="0.35">
      <c r="A2075">
        <v>2073</v>
      </c>
      <c r="B2075" t="s">
        <v>7</v>
      </c>
      <c r="C2075" t="s">
        <v>43</v>
      </c>
      <c r="D2075">
        <v>0.14285714285714285</v>
      </c>
      <c r="E2075">
        <v>0.85714285714285721</v>
      </c>
      <c r="F2075">
        <v>303.14999999999998</v>
      </c>
      <c r="G2075">
        <v>710</v>
      </c>
      <c r="H2075">
        <f t="shared" si="128"/>
        <v>-2.8336134240775559</v>
      </c>
      <c r="I2075">
        <v>5.8799999999999998E-2</v>
      </c>
      <c r="J2075" t="str">
        <f t="shared" si="129"/>
        <v>C[N+](C)(C)CCO.[Cl-]C(CO)NCCO</v>
      </c>
      <c r="K2075">
        <v>80</v>
      </c>
      <c r="M2075">
        <f t="shared" si="130"/>
        <v>-0.72967870461249518</v>
      </c>
      <c r="N2075">
        <f t="shared" si="131"/>
        <v>-0.22426621120922385</v>
      </c>
    </row>
    <row r="2076" spans="1:14" x14ac:dyDescent="0.35">
      <c r="A2076">
        <v>2074</v>
      </c>
      <c r="B2076" t="s">
        <v>7</v>
      </c>
      <c r="C2076" t="s">
        <v>43</v>
      </c>
      <c r="D2076">
        <v>0.14285714285714285</v>
      </c>
      <c r="E2076">
        <v>0.85714285714285721</v>
      </c>
      <c r="F2076">
        <v>303.14999999999998</v>
      </c>
      <c r="G2076">
        <v>814</v>
      </c>
      <c r="H2076">
        <f t="shared" si="128"/>
        <v>-2.6464848454440553</v>
      </c>
      <c r="I2076">
        <v>7.0900000000000005E-2</v>
      </c>
      <c r="J2076" t="str">
        <f t="shared" si="129"/>
        <v>C[N+](C)(C)CCO.[Cl-]C(CO)NCCO</v>
      </c>
      <c r="K2076">
        <v>80</v>
      </c>
      <c r="M2076">
        <f t="shared" si="130"/>
        <v>-0.72967870461249518</v>
      </c>
      <c r="N2076">
        <f t="shared" si="131"/>
        <v>-0.16610052017528498</v>
      </c>
    </row>
    <row r="2077" spans="1:14" x14ac:dyDescent="0.35">
      <c r="A2077">
        <v>2075</v>
      </c>
      <c r="B2077" t="s">
        <v>7</v>
      </c>
      <c r="C2077" t="s">
        <v>43</v>
      </c>
      <c r="D2077">
        <v>0.14285714285714285</v>
      </c>
      <c r="E2077">
        <v>0.85714285714285721</v>
      </c>
      <c r="F2077">
        <v>303.14999999999998</v>
      </c>
      <c r="G2077">
        <v>971</v>
      </c>
      <c r="H2077">
        <f t="shared" si="128"/>
        <v>-2.406835114367845</v>
      </c>
      <c r="I2077">
        <v>9.01E-2</v>
      </c>
      <c r="J2077" t="str">
        <f t="shared" si="129"/>
        <v>C[N+](C)(C)CCO.[Cl-]C(CO)NCCO</v>
      </c>
      <c r="K2077">
        <v>80</v>
      </c>
      <c r="M2077">
        <f t="shared" si="130"/>
        <v>-0.72967870461249518</v>
      </c>
      <c r="N2077">
        <f t="shared" si="131"/>
        <v>-7.8292698133665753E-2</v>
      </c>
    </row>
    <row r="2078" spans="1:14" x14ac:dyDescent="0.35">
      <c r="A2078">
        <v>2076</v>
      </c>
      <c r="B2078" t="s">
        <v>11</v>
      </c>
      <c r="C2078" t="s">
        <v>43</v>
      </c>
      <c r="D2078">
        <v>0.14285714285714285</v>
      </c>
      <c r="E2078">
        <v>0.85714285714285721</v>
      </c>
      <c r="F2078">
        <v>303.14999999999998</v>
      </c>
      <c r="G2078">
        <v>610.5</v>
      </c>
      <c r="H2078">
        <f t="shared" si="128"/>
        <v>-3.0704558197499274</v>
      </c>
      <c r="I2078">
        <v>4.6399999999999997E-2</v>
      </c>
      <c r="J2078" t="str">
        <f t="shared" si="129"/>
        <v>CCCC[N+](CCCC)(CCCC)CCCC.[Br-]C(CO)NCCO</v>
      </c>
      <c r="K2078">
        <v>25</v>
      </c>
      <c r="M2078">
        <f t="shared" si="130"/>
        <v>-0.72967870461249518</v>
      </c>
      <c r="N2078">
        <f t="shared" si="131"/>
        <v>-0.2799151175349634</v>
      </c>
    </row>
    <row r="2079" spans="1:14" x14ac:dyDescent="0.35">
      <c r="A2079">
        <v>2077</v>
      </c>
      <c r="B2079" t="s">
        <v>11</v>
      </c>
      <c r="C2079" t="s">
        <v>43</v>
      </c>
      <c r="D2079">
        <v>0.14285714285714285</v>
      </c>
      <c r="E2079">
        <v>0.85714285714285721</v>
      </c>
      <c r="F2079">
        <v>303.14999999999998</v>
      </c>
      <c r="G2079">
        <v>734.6</v>
      </c>
      <c r="H2079">
        <f t="shared" si="128"/>
        <v>-2.7120582224997487</v>
      </c>
      <c r="I2079">
        <v>6.6400000000000001E-2</v>
      </c>
      <c r="J2079" t="str">
        <f t="shared" si="129"/>
        <v>CCCC[N+](CCCC)(CCCC)CCCC.[Br-]C(CO)NCCO</v>
      </c>
      <c r="K2079">
        <v>25</v>
      </c>
      <c r="M2079">
        <f t="shared" si="130"/>
        <v>-0.72967870461249518</v>
      </c>
      <c r="N2079">
        <f t="shared" si="131"/>
        <v>-0.21050778813773444</v>
      </c>
    </row>
    <row r="2080" spans="1:14" x14ac:dyDescent="0.35">
      <c r="A2080">
        <v>2078</v>
      </c>
      <c r="B2080" t="s">
        <v>11</v>
      </c>
      <c r="C2080" t="s">
        <v>43</v>
      </c>
      <c r="D2080">
        <v>0.14285714285714285</v>
      </c>
      <c r="E2080">
        <v>0.85714285714285721</v>
      </c>
      <c r="F2080">
        <v>303.14999999999998</v>
      </c>
      <c r="G2080">
        <v>823</v>
      </c>
      <c r="H2080">
        <f t="shared" si="128"/>
        <v>-2.579656986333811</v>
      </c>
      <c r="I2080">
        <v>7.5800000000000006E-2</v>
      </c>
      <c r="J2080" t="str">
        <f t="shared" si="129"/>
        <v>CCCC[N+](CCCC)(CCCC)CCCC.[Br-]C(CO)NCCO</v>
      </c>
      <c r="K2080">
        <v>25</v>
      </c>
      <c r="M2080">
        <f t="shared" si="130"/>
        <v>-0.72967870461249518</v>
      </c>
      <c r="N2080">
        <f t="shared" si="131"/>
        <v>-0.16106695075888644</v>
      </c>
    </row>
    <row r="2081" spans="1:14" x14ac:dyDescent="0.35">
      <c r="A2081">
        <v>2079</v>
      </c>
      <c r="B2081" t="s">
        <v>11</v>
      </c>
      <c r="C2081" t="s">
        <v>43</v>
      </c>
      <c r="D2081">
        <v>0.14285714285714285</v>
      </c>
      <c r="E2081">
        <v>0.85714285714285721</v>
      </c>
      <c r="F2081">
        <v>303.14999999999998</v>
      </c>
      <c r="G2081">
        <v>930.6</v>
      </c>
      <c r="H2081">
        <f t="shared" si="128"/>
        <v>-2.3146576742283149</v>
      </c>
      <c r="I2081">
        <v>9.8799999999999999E-2</v>
      </c>
      <c r="J2081" t="str">
        <f t="shared" si="129"/>
        <v>CCCC[N+](CCCC)(CCCC)CCCC.[Br-]C(CO)NCCO</v>
      </c>
      <c r="K2081">
        <v>25</v>
      </c>
      <c r="M2081">
        <f t="shared" si="130"/>
        <v>-0.72967870461249518</v>
      </c>
      <c r="N2081">
        <f t="shared" si="131"/>
        <v>-0.10088783195838814</v>
      </c>
    </row>
    <row r="2082" spans="1:14" x14ac:dyDescent="0.35">
      <c r="A2082">
        <v>2080</v>
      </c>
      <c r="B2082" t="s">
        <v>11</v>
      </c>
      <c r="C2082" t="s">
        <v>43</v>
      </c>
      <c r="D2082">
        <v>0.14285714285714285</v>
      </c>
      <c r="E2082">
        <v>0.85714285714285721</v>
      </c>
      <c r="F2082">
        <v>303.14999999999998</v>
      </c>
      <c r="G2082">
        <v>1011.2</v>
      </c>
      <c r="H2082">
        <f t="shared" si="128"/>
        <v>-2.2837633387534577</v>
      </c>
      <c r="I2082">
        <v>0.1019</v>
      </c>
      <c r="J2082" t="str">
        <f t="shared" si="129"/>
        <v>CCCC[N+](CCCC)(CCCC)CCCC.[Br-]C(CO)NCCO</v>
      </c>
      <c r="K2082">
        <v>25</v>
      </c>
      <c r="M2082">
        <f t="shared" si="130"/>
        <v>-0.72967870461249518</v>
      </c>
      <c r="N2082">
        <f t="shared" si="131"/>
        <v>-5.5809421407085516E-2</v>
      </c>
    </row>
    <row r="2083" spans="1:14" x14ac:dyDescent="0.35">
      <c r="A2083">
        <v>2081</v>
      </c>
      <c r="B2083" t="s">
        <v>3</v>
      </c>
      <c r="C2083" t="s">
        <v>58</v>
      </c>
      <c r="D2083">
        <v>0.14285714285714285</v>
      </c>
      <c r="E2083">
        <v>0.85714285714285721</v>
      </c>
      <c r="F2083">
        <v>313.14999999999998</v>
      </c>
      <c r="G2083">
        <v>183.3</v>
      </c>
      <c r="H2083">
        <f t="shared" si="128"/>
        <v>-3.71</v>
      </c>
      <c r="I2083">
        <v>2.447752327165267E-2</v>
      </c>
      <c r="J2083" t="str">
        <f t="shared" si="129"/>
        <v>C=CC[P+](C1=CC=CC=C1)(C2=CC=CC=C2)C3=CC=CC=C3.[Br-]C1=CC=C(C=C1)O</v>
      </c>
      <c r="K2083">
        <v>9</v>
      </c>
      <c r="M2083">
        <f t="shared" si="130"/>
        <v>5.4037971934950142E-2</v>
      </c>
      <c r="N2083">
        <f t="shared" si="131"/>
        <v>-0.51884187916668156</v>
      </c>
    </row>
    <row r="2084" spans="1:14" x14ac:dyDescent="0.35">
      <c r="A2084">
        <v>2082</v>
      </c>
      <c r="B2084" t="s">
        <v>3</v>
      </c>
      <c r="C2084" t="s">
        <v>58</v>
      </c>
      <c r="D2084">
        <v>0.14285714285714285</v>
      </c>
      <c r="E2084">
        <v>0.85714285714285721</v>
      </c>
      <c r="F2084">
        <v>313.14999999999998</v>
      </c>
      <c r="G2084">
        <v>409.8</v>
      </c>
      <c r="H2084">
        <f t="shared" si="128"/>
        <v>-2.83</v>
      </c>
      <c r="I2084">
        <v>5.9012853669447841E-2</v>
      </c>
      <c r="J2084" t="str">
        <f t="shared" si="129"/>
        <v>C=CC[P+](C1=CC=CC=C1)(C2=CC=CC=C2)C3=CC=CC=C3.[Br-]C1=CC=C(C=C1)O</v>
      </c>
      <c r="K2084">
        <v>9</v>
      </c>
      <c r="M2084">
        <f t="shared" si="130"/>
        <v>5.4037971934950142E-2</v>
      </c>
      <c r="N2084">
        <f t="shared" si="131"/>
        <v>-0.39216371552065121</v>
      </c>
    </row>
    <row r="2085" spans="1:14" x14ac:dyDescent="0.35">
      <c r="A2085">
        <v>2083</v>
      </c>
      <c r="B2085" t="s">
        <v>3</v>
      </c>
      <c r="C2085" t="s">
        <v>58</v>
      </c>
      <c r="D2085">
        <v>0.14285714285714285</v>
      </c>
      <c r="E2085">
        <v>0.85714285714285721</v>
      </c>
      <c r="F2085">
        <v>313.14999999999998</v>
      </c>
      <c r="G2085">
        <v>669</v>
      </c>
      <c r="H2085">
        <f t="shared" si="128"/>
        <v>-2.3968957724652871</v>
      </c>
      <c r="I2085">
        <v>9.0999999999999998E-2</v>
      </c>
      <c r="J2085" t="str">
        <f t="shared" si="129"/>
        <v>C=CC[P+](C1=CC=CC=C1)(C2=CC=CC=C2)C3=CC=CC=C3.[Br-]C1=CC=C(C=C1)O</v>
      </c>
      <c r="K2085">
        <v>9</v>
      </c>
      <c r="M2085">
        <f t="shared" si="130"/>
        <v>5.4037971934950142E-2</v>
      </c>
      <c r="N2085">
        <f t="shared" si="131"/>
        <v>-0.24719691632837282</v>
      </c>
    </row>
    <row r="2086" spans="1:14" x14ac:dyDescent="0.35">
      <c r="A2086">
        <v>2084</v>
      </c>
      <c r="B2086" t="s">
        <v>3</v>
      </c>
      <c r="C2086" t="s">
        <v>58</v>
      </c>
      <c r="D2086">
        <v>0.14285714285714285</v>
      </c>
      <c r="E2086">
        <v>0.85714285714285721</v>
      </c>
      <c r="F2086">
        <v>313.14999999999998</v>
      </c>
      <c r="G2086">
        <v>871.7</v>
      </c>
      <c r="H2086">
        <f t="shared" si="128"/>
        <v>-2.0510484671786182</v>
      </c>
      <c r="I2086">
        <v>0.12859999999999999</v>
      </c>
      <c r="J2086" t="str">
        <f t="shared" si="129"/>
        <v>C=CC[P+](C1=CC=CC=C1)(C2=CC=CC=C2)C3=CC=CC=C3.[Br-]C1=CC=C(C=C1)O</v>
      </c>
      <c r="K2086">
        <v>9</v>
      </c>
      <c r="M2086">
        <f t="shared" si="130"/>
        <v>5.4037971934950142E-2</v>
      </c>
      <c r="N2086">
        <f t="shared" si="131"/>
        <v>-0.13382974736126313</v>
      </c>
    </row>
    <row r="2087" spans="1:14" x14ac:dyDescent="0.35">
      <c r="A2087">
        <v>2085</v>
      </c>
      <c r="B2087" t="s">
        <v>3</v>
      </c>
      <c r="C2087" t="s">
        <v>58</v>
      </c>
      <c r="D2087">
        <v>0.14285714285714285</v>
      </c>
      <c r="E2087">
        <v>0.85714285714285721</v>
      </c>
      <c r="F2087">
        <v>313.14999999999998</v>
      </c>
      <c r="G2087">
        <v>1098.5</v>
      </c>
      <c r="H2087">
        <f t="shared" si="128"/>
        <v>-1.7981800370309777</v>
      </c>
      <c r="I2087">
        <v>0.1656</v>
      </c>
      <c r="J2087" t="str">
        <f t="shared" si="129"/>
        <v>C=CC[P+](C1=CC=CC=C1)(C2=CC=CC=C2)C3=CC=CC=C3.[Br-]C1=CC=C(C=C1)O</v>
      </c>
      <c r="K2087">
        <v>9</v>
      </c>
      <c r="M2087">
        <f t="shared" si="130"/>
        <v>5.4037971934950142E-2</v>
      </c>
      <c r="N2087">
        <f t="shared" si="131"/>
        <v>-6.9837980680195642E-3</v>
      </c>
    </row>
    <row r="2088" spans="1:14" x14ac:dyDescent="0.35">
      <c r="A2088">
        <v>2086</v>
      </c>
      <c r="B2088" t="s">
        <v>3</v>
      </c>
      <c r="C2088" t="s">
        <v>58</v>
      </c>
      <c r="D2088">
        <v>0.14285714285714285</v>
      </c>
      <c r="E2088">
        <v>0.85714285714285721</v>
      </c>
      <c r="F2088">
        <v>313.14999999999998</v>
      </c>
      <c r="G2088">
        <v>1320.3</v>
      </c>
      <c r="H2088">
        <f t="shared" si="128"/>
        <v>-1.6347557204183902</v>
      </c>
      <c r="I2088">
        <v>0.19500000000000001</v>
      </c>
      <c r="J2088" t="str">
        <f t="shared" si="129"/>
        <v>C=CC[P+](C1=CC=CC=C1)(C2=CC=CC=C2)C3=CC=CC=C3.[Br-]C1=CC=C(C=C1)O</v>
      </c>
      <c r="K2088">
        <v>9</v>
      </c>
      <c r="M2088">
        <f t="shared" si="130"/>
        <v>5.4037971934950142E-2</v>
      </c>
      <c r="N2088">
        <f t="shared" si="131"/>
        <v>0.11706572377166924</v>
      </c>
    </row>
    <row r="2089" spans="1:14" x14ac:dyDescent="0.35">
      <c r="A2089">
        <v>2087</v>
      </c>
      <c r="B2089" t="s">
        <v>3</v>
      </c>
      <c r="C2089" t="s">
        <v>58</v>
      </c>
      <c r="D2089">
        <v>0.14285714285714285</v>
      </c>
      <c r="E2089">
        <v>0.85714285714285721</v>
      </c>
      <c r="F2089">
        <v>323.14999999999998</v>
      </c>
      <c r="G2089">
        <v>159.9</v>
      </c>
      <c r="H2089">
        <f t="shared" si="128"/>
        <v>-3.83</v>
      </c>
      <c r="I2089">
        <v>2.1709615629848571E-2</v>
      </c>
      <c r="J2089" t="str">
        <f t="shared" si="129"/>
        <v>C=CC[P+](C1=CC=CC=C1)(C2=CC=CC=C2)C3=CC=CC=C3.[Br-]C1=CC=C(C=C1)O</v>
      </c>
      <c r="K2089">
        <v>9</v>
      </c>
      <c r="M2089">
        <f t="shared" si="130"/>
        <v>0.83775464848239545</v>
      </c>
      <c r="N2089">
        <f t="shared" si="131"/>
        <v>-0.53192915964931775</v>
      </c>
    </row>
    <row r="2090" spans="1:14" x14ac:dyDescent="0.35">
      <c r="A2090">
        <v>2088</v>
      </c>
      <c r="B2090" t="s">
        <v>3</v>
      </c>
      <c r="C2090" t="s">
        <v>58</v>
      </c>
      <c r="D2090">
        <v>0.14285714285714285</v>
      </c>
      <c r="E2090">
        <v>0.85714285714285721</v>
      </c>
      <c r="F2090">
        <v>323.14999999999998</v>
      </c>
      <c r="G2090">
        <v>327.3</v>
      </c>
      <c r="H2090">
        <f t="shared" si="128"/>
        <v>-3.0812901619156374</v>
      </c>
      <c r="I2090">
        <v>4.5900000000000003E-2</v>
      </c>
      <c r="J2090" t="str">
        <f t="shared" si="129"/>
        <v>C=CC[P+](C1=CC=CC=C1)(C2=CC=CC=C2)C3=CC=CC=C3.[Br-]C1=CC=C(C=C1)O</v>
      </c>
      <c r="K2090">
        <v>9</v>
      </c>
      <c r="M2090">
        <f t="shared" si="130"/>
        <v>0.83775464848239545</v>
      </c>
      <c r="N2090">
        <f t="shared" si="131"/>
        <v>-0.43830476850430461</v>
      </c>
    </row>
    <row r="2091" spans="1:14" x14ac:dyDescent="0.35">
      <c r="A2091">
        <v>2089</v>
      </c>
      <c r="B2091" t="s">
        <v>3</v>
      </c>
      <c r="C2091" t="s">
        <v>58</v>
      </c>
      <c r="D2091">
        <v>0.14285714285714285</v>
      </c>
      <c r="E2091">
        <v>0.85714285714285721</v>
      </c>
      <c r="F2091">
        <v>323.14999999999998</v>
      </c>
      <c r="G2091">
        <v>567.9</v>
      </c>
      <c r="H2091">
        <f t="shared" si="128"/>
        <v>-2.5499999999999998</v>
      </c>
      <c r="I2091">
        <v>7.8081666001153169E-2</v>
      </c>
      <c r="J2091" t="str">
        <f t="shared" si="129"/>
        <v>C=CC[P+](C1=CC=CC=C1)(C2=CC=CC=C2)C3=CC=CC=C3.[Br-]C1=CC=C(C=C1)O</v>
      </c>
      <c r="K2091">
        <v>9</v>
      </c>
      <c r="M2091">
        <f t="shared" si="130"/>
        <v>0.83775464848239545</v>
      </c>
      <c r="N2091">
        <f t="shared" si="131"/>
        <v>-0.30374067943924993</v>
      </c>
    </row>
    <row r="2092" spans="1:14" x14ac:dyDescent="0.35">
      <c r="A2092">
        <v>2090</v>
      </c>
      <c r="B2092" t="s">
        <v>3</v>
      </c>
      <c r="C2092" t="s">
        <v>58</v>
      </c>
      <c r="D2092">
        <v>0.14285714285714285</v>
      </c>
      <c r="E2092">
        <v>0.85714285714285721</v>
      </c>
      <c r="F2092">
        <v>323.14999999999998</v>
      </c>
      <c r="G2092">
        <v>818.9</v>
      </c>
      <c r="H2092">
        <f t="shared" si="128"/>
        <v>-2.364460496712133</v>
      </c>
      <c r="I2092">
        <v>9.4E-2</v>
      </c>
      <c r="J2092" t="str">
        <f t="shared" si="129"/>
        <v>C=CC[P+](C1=CC=CC=C1)(C2=CC=CC=C2)C3=CC=CC=C3.[Br-]C1=CC=C(C=C1)O</v>
      </c>
      <c r="K2092">
        <v>9</v>
      </c>
      <c r="M2092">
        <f t="shared" si="130"/>
        <v>0.83775464848239545</v>
      </c>
      <c r="N2092">
        <f t="shared" si="131"/>
        <v>-0.16336002127080135</v>
      </c>
    </row>
    <row r="2093" spans="1:14" x14ac:dyDescent="0.35">
      <c r="A2093">
        <v>2091</v>
      </c>
      <c r="B2093" t="s">
        <v>3</v>
      </c>
      <c r="C2093" t="s">
        <v>58</v>
      </c>
      <c r="D2093">
        <v>0.14285714285714285</v>
      </c>
      <c r="E2093">
        <v>0.85714285714285721</v>
      </c>
      <c r="F2093">
        <v>323.14999999999998</v>
      </c>
      <c r="G2093">
        <v>1088.3</v>
      </c>
      <c r="H2093">
        <f t="shared" si="128"/>
        <v>-2.0541637344955674</v>
      </c>
      <c r="I2093">
        <v>0.12820000000000001</v>
      </c>
      <c r="J2093" t="str">
        <f t="shared" si="129"/>
        <v>C=CC[P+](C1=CC=CC=C1)(C2=CC=CC=C2)C3=CC=CC=C3.[Br-]C1=CC=C(C=C1)O</v>
      </c>
      <c r="K2093">
        <v>9</v>
      </c>
      <c r="M2093">
        <f t="shared" si="130"/>
        <v>0.83775464848239545</v>
      </c>
      <c r="N2093">
        <f t="shared" si="131"/>
        <v>-1.2688510073271285E-2</v>
      </c>
    </row>
    <row r="2094" spans="1:14" x14ac:dyDescent="0.35">
      <c r="A2094">
        <v>2092</v>
      </c>
      <c r="B2094" t="s">
        <v>3</v>
      </c>
      <c r="C2094" t="s">
        <v>58</v>
      </c>
      <c r="D2094">
        <v>0.14285714285714285</v>
      </c>
      <c r="E2094">
        <v>0.85714285714285721</v>
      </c>
      <c r="F2094">
        <v>323.14999999999998</v>
      </c>
      <c r="G2094">
        <v>1328.9</v>
      </c>
      <c r="H2094">
        <f t="shared" si="128"/>
        <v>-1.8140050781753747</v>
      </c>
      <c r="I2094">
        <v>0.16300000000000001</v>
      </c>
      <c r="J2094" t="str">
        <f t="shared" si="129"/>
        <v>C=CC[P+](C1=CC=CC=C1)(C2=CC=CC=C2)C3=CC=CC=C3.[Br-]C1=CC=C(C=C1)O</v>
      </c>
      <c r="K2094">
        <v>9</v>
      </c>
      <c r="M2094">
        <f t="shared" si="130"/>
        <v>0.83775464848239545</v>
      </c>
      <c r="N2094">
        <f t="shared" si="131"/>
        <v>0.12187557899178349</v>
      </c>
    </row>
    <row r="2095" spans="1:14" x14ac:dyDescent="0.35">
      <c r="A2095">
        <v>2093</v>
      </c>
      <c r="B2095" t="s">
        <v>3</v>
      </c>
      <c r="C2095" t="s">
        <v>58</v>
      </c>
      <c r="D2095">
        <v>0.14285714285714285</v>
      </c>
      <c r="E2095">
        <v>0.85714285714285721</v>
      </c>
      <c r="F2095">
        <v>333.15</v>
      </c>
      <c r="G2095">
        <v>191.2</v>
      </c>
      <c r="H2095">
        <f t="shared" si="128"/>
        <v>-3.8537540973041704</v>
      </c>
      <c r="I2095">
        <v>2.12E-2</v>
      </c>
      <c r="J2095" t="str">
        <f t="shared" si="129"/>
        <v>C=CC[P+](C1=CC=CC=C1)(C2=CC=CC=C2)C3=CC=CC=C3.[Br-]C1=CC=C(C=C1)O</v>
      </c>
      <c r="K2095">
        <v>9</v>
      </c>
      <c r="M2095">
        <f t="shared" si="130"/>
        <v>1.6214713250298407</v>
      </c>
      <c r="N2095">
        <f t="shared" si="131"/>
        <v>-0.51442352379006495</v>
      </c>
    </row>
    <row r="2096" spans="1:14" x14ac:dyDescent="0.35">
      <c r="A2096">
        <v>2094</v>
      </c>
      <c r="B2096" t="s">
        <v>3</v>
      </c>
      <c r="C2096" t="s">
        <v>58</v>
      </c>
      <c r="D2096">
        <v>0.14285714285714285</v>
      </c>
      <c r="E2096">
        <v>0.85714285714285721</v>
      </c>
      <c r="F2096">
        <v>333.15</v>
      </c>
      <c r="G2096">
        <v>457.2</v>
      </c>
      <c r="H2096">
        <f t="shared" si="128"/>
        <v>-2.9565115604007097</v>
      </c>
      <c r="I2096">
        <v>5.1999999999999998E-2</v>
      </c>
      <c r="J2096" t="str">
        <f t="shared" si="129"/>
        <v>C=CC[P+](C1=CC=CC=C1)(C2=CC=CC=C2)C3=CC=CC=C3.[Br-]C1=CC=C(C=C1)O</v>
      </c>
      <c r="K2096">
        <v>9</v>
      </c>
      <c r="M2096">
        <f t="shared" si="130"/>
        <v>1.6214713250298407</v>
      </c>
      <c r="N2096">
        <f t="shared" si="131"/>
        <v>-0.3656535832609521</v>
      </c>
    </row>
    <row r="2097" spans="1:14" x14ac:dyDescent="0.35">
      <c r="A2097">
        <v>2095</v>
      </c>
      <c r="B2097" t="s">
        <v>3</v>
      </c>
      <c r="C2097" t="s">
        <v>58</v>
      </c>
      <c r="D2097">
        <v>0.14285714285714285</v>
      </c>
      <c r="E2097">
        <v>0.85714285714285721</v>
      </c>
      <c r="F2097">
        <v>333.15</v>
      </c>
      <c r="G2097">
        <v>700.8</v>
      </c>
      <c r="H2097">
        <f t="shared" si="128"/>
        <v>-2.5499999999999998</v>
      </c>
      <c r="I2097">
        <v>7.8081666001153169E-2</v>
      </c>
      <c r="J2097" t="str">
        <f t="shared" si="129"/>
        <v>C=CC[P+](C1=CC=CC=C1)(C2=CC=CC=C2)C3=CC=CC=C3.[Br-]C1=CC=C(C=C1)O</v>
      </c>
      <c r="K2097">
        <v>9</v>
      </c>
      <c r="M2097">
        <f t="shared" si="130"/>
        <v>1.6214713250298407</v>
      </c>
      <c r="N2097">
        <f t="shared" si="131"/>
        <v>-0.22941163772376461</v>
      </c>
    </row>
    <row r="2098" spans="1:14" x14ac:dyDescent="0.35">
      <c r="A2098">
        <v>2096</v>
      </c>
      <c r="B2098" t="s">
        <v>3</v>
      </c>
      <c r="C2098" t="s">
        <v>58</v>
      </c>
      <c r="D2098">
        <v>0.14285714285714285</v>
      </c>
      <c r="E2098">
        <v>0.85714285714285721</v>
      </c>
      <c r="F2098">
        <v>333.15</v>
      </c>
      <c r="G2098">
        <v>978.4</v>
      </c>
      <c r="H2098">
        <f t="shared" si="128"/>
        <v>-2.3176987308040937</v>
      </c>
      <c r="I2098">
        <v>9.8500000000000004E-2</v>
      </c>
      <c r="J2098" t="str">
        <f t="shared" si="129"/>
        <v>C=CC[P+](C1=CC=CC=C1)(C2=CC=CC=C2)C3=CC=CC=C3.[Br-]C1=CC=C(C=C1)O</v>
      </c>
      <c r="K2098">
        <v>9</v>
      </c>
      <c r="M2098">
        <f t="shared" si="130"/>
        <v>1.6214713250298407</v>
      </c>
      <c r="N2098">
        <f t="shared" si="131"/>
        <v>-7.4153985502404735E-2</v>
      </c>
    </row>
    <row r="2099" spans="1:14" x14ac:dyDescent="0.35">
      <c r="A2099">
        <v>2097</v>
      </c>
      <c r="B2099" t="s">
        <v>3</v>
      </c>
      <c r="C2099" t="s">
        <v>58</v>
      </c>
      <c r="D2099">
        <v>0.14285714285714285</v>
      </c>
      <c r="E2099">
        <v>0.85714285714285721</v>
      </c>
      <c r="F2099">
        <v>333.15</v>
      </c>
      <c r="G2099">
        <v>1123.5999999999999</v>
      </c>
      <c r="H2099">
        <f t="shared" si="128"/>
        <v>-2.1481487396896268</v>
      </c>
      <c r="I2099">
        <v>0.1167</v>
      </c>
      <c r="J2099" t="str">
        <f t="shared" si="129"/>
        <v>C=CC[P+](C1=CC=CC=C1)(C2=CC=CC=C2)C3=CC=CC=C3.[Br-]C1=CC=C(C=C1)O</v>
      </c>
      <c r="K2099">
        <v>9</v>
      </c>
      <c r="M2099">
        <f t="shared" si="130"/>
        <v>1.6214713250298407</v>
      </c>
      <c r="N2099">
        <f t="shared" si="131"/>
        <v>7.0542677488252435E-3</v>
      </c>
    </row>
    <row r="2100" spans="1:14" x14ac:dyDescent="0.35">
      <c r="A2100">
        <v>2098</v>
      </c>
      <c r="B2100" t="s">
        <v>3</v>
      </c>
      <c r="C2100" t="s">
        <v>58</v>
      </c>
      <c r="D2100">
        <v>0.14285714285714285</v>
      </c>
      <c r="E2100">
        <v>0.85714285714285721</v>
      </c>
      <c r="F2100">
        <v>333.15</v>
      </c>
      <c r="G2100">
        <v>1387.3</v>
      </c>
      <c r="H2100">
        <f t="shared" si="128"/>
        <v>-1.9139271032022627</v>
      </c>
      <c r="I2100">
        <v>0.14749999999999999</v>
      </c>
      <c r="J2100" t="str">
        <f t="shared" si="129"/>
        <v>C=CC[P+](C1=CC=CC=C1)(C2=CC=CC=C2)C3=CC=CC=C3.[Br-]C1=CC=C(C=C1)O</v>
      </c>
      <c r="K2100">
        <v>9</v>
      </c>
      <c r="M2100">
        <f t="shared" si="130"/>
        <v>1.6214713250298407</v>
      </c>
      <c r="N2100">
        <f t="shared" si="131"/>
        <v>0.15453785164930292</v>
      </c>
    </row>
    <row r="2101" spans="1:14" x14ac:dyDescent="0.35">
      <c r="A2101">
        <v>2099</v>
      </c>
      <c r="B2101" t="s">
        <v>22</v>
      </c>
      <c r="C2101" t="s">
        <v>39</v>
      </c>
      <c r="D2101">
        <v>0.14285714285714285</v>
      </c>
      <c r="E2101">
        <v>0.85714285714285721</v>
      </c>
      <c r="F2101">
        <v>298.14999999999998</v>
      </c>
      <c r="G2101">
        <v>350</v>
      </c>
      <c r="H2101">
        <f t="shared" si="128"/>
        <v>-3.89</v>
      </c>
      <c r="I2101">
        <v>2.0445346037937653E-2</v>
      </c>
      <c r="J2101" t="str">
        <f t="shared" si="129"/>
        <v>CCC[N+](CCC)(CCC)CCC.[Cl-]CC(=O)O</v>
      </c>
      <c r="K2101">
        <v>46</v>
      </c>
      <c r="M2101">
        <f t="shared" si="130"/>
        <v>-1.1215370428862177</v>
      </c>
      <c r="N2101">
        <f t="shared" si="131"/>
        <v>-0.42560898786516604</v>
      </c>
    </row>
    <row r="2102" spans="1:14" x14ac:dyDescent="0.35">
      <c r="A2102">
        <v>2100</v>
      </c>
      <c r="B2102" t="s">
        <v>22</v>
      </c>
      <c r="C2102" t="s">
        <v>39</v>
      </c>
      <c r="D2102">
        <v>0.14285714285714285</v>
      </c>
      <c r="E2102">
        <v>0.85714285714285721</v>
      </c>
      <c r="F2102">
        <v>298.14999999999998</v>
      </c>
      <c r="G2102">
        <v>554</v>
      </c>
      <c r="H2102">
        <f t="shared" si="128"/>
        <v>-3.26</v>
      </c>
      <c r="I2102">
        <v>3.8388398017552075E-2</v>
      </c>
      <c r="J2102" t="str">
        <f t="shared" si="129"/>
        <v>CCC[N+](CCC)(CCC)CCC.[Cl-]CC(=O)O</v>
      </c>
      <c r="K2102">
        <v>46</v>
      </c>
      <c r="M2102">
        <f t="shared" si="130"/>
        <v>-1.1215370428862177</v>
      </c>
      <c r="N2102">
        <f t="shared" si="131"/>
        <v>-0.3115147477601321</v>
      </c>
    </row>
    <row r="2103" spans="1:14" x14ac:dyDescent="0.35">
      <c r="A2103">
        <v>2101</v>
      </c>
      <c r="B2103" t="s">
        <v>22</v>
      </c>
      <c r="C2103" t="s">
        <v>39</v>
      </c>
      <c r="D2103">
        <v>0.14285714285714285</v>
      </c>
      <c r="E2103">
        <v>0.85714285714285721</v>
      </c>
      <c r="F2103">
        <v>298.14999999999998</v>
      </c>
      <c r="G2103">
        <v>826</v>
      </c>
      <c r="H2103">
        <f t="shared" si="128"/>
        <v>-2.87</v>
      </c>
      <c r="I2103">
        <v>5.6698926579846903E-2</v>
      </c>
      <c r="J2103" t="str">
        <f t="shared" si="129"/>
        <v>CCC[N+](CCC)(CCC)CCC.[Cl-]CC(=O)O</v>
      </c>
      <c r="K2103">
        <v>46</v>
      </c>
      <c r="M2103">
        <f t="shared" si="130"/>
        <v>-1.1215370428862177</v>
      </c>
      <c r="N2103">
        <f t="shared" si="131"/>
        <v>-0.15938909428675357</v>
      </c>
    </row>
    <row r="2104" spans="1:14" x14ac:dyDescent="0.35">
      <c r="A2104">
        <v>2102</v>
      </c>
      <c r="B2104" t="s">
        <v>22</v>
      </c>
      <c r="C2104" t="s">
        <v>39</v>
      </c>
      <c r="D2104">
        <v>0.14285714285714285</v>
      </c>
      <c r="E2104">
        <v>0.85714285714285721</v>
      </c>
      <c r="F2104">
        <v>298.14999999999998</v>
      </c>
      <c r="G2104">
        <v>1220</v>
      </c>
      <c r="H2104">
        <f t="shared" si="128"/>
        <v>-2.56</v>
      </c>
      <c r="I2104">
        <v>7.7304740443299741E-2</v>
      </c>
      <c r="J2104" t="str">
        <f t="shared" si="129"/>
        <v>CCC[N+](CCC)(CCC)CCC.[Cl-]CC(=O)O</v>
      </c>
      <c r="K2104">
        <v>46</v>
      </c>
      <c r="M2104">
        <f t="shared" si="130"/>
        <v>-1.1215370428862177</v>
      </c>
      <c r="N2104">
        <f t="shared" si="131"/>
        <v>6.0969389053360926E-2</v>
      </c>
    </row>
    <row r="2105" spans="1:14" x14ac:dyDescent="0.35">
      <c r="A2105">
        <v>2103</v>
      </c>
      <c r="B2105" t="s">
        <v>22</v>
      </c>
      <c r="C2105" t="s">
        <v>39</v>
      </c>
      <c r="D2105">
        <v>0.14285714285714285</v>
      </c>
      <c r="E2105">
        <v>0.85714285714285721</v>
      </c>
      <c r="F2105">
        <v>298.14999999999998</v>
      </c>
      <c r="G2105">
        <v>1652</v>
      </c>
      <c r="H2105">
        <f t="shared" si="128"/>
        <v>-2.2799999999999998</v>
      </c>
      <c r="I2105">
        <v>0.10228420671553748</v>
      </c>
      <c r="J2105" t="str">
        <f t="shared" si="129"/>
        <v>CCC[N+](CCC)(CCC)CCC.[Cl-]CC(=O)O</v>
      </c>
      <c r="K2105">
        <v>46</v>
      </c>
      <c r="M2105">
        <f t="shared" si="130"/>
        <v>-1.1215370428862177</v>
      </c>
      <c r="N2105">
        <f t="shared" si="131"/>
        <v>0.30258072104049155</v>
      </c>
    </row>
    <row r="2106" spans="1:14" x14ac:dyDescent="0.35">
      <c r="A2106">
        <v>2104</v>
      </c>
      <c r="B2106" t="s">
        <v>22</v>
      </c>
      <c r="C2106" t="s">
        <v>39</v>
      </c>
      <c r="D2106">
        <v>0.14285714285714285</v>
      </c>
      <c r="E2106">
        <v>0.85714285714285721</v>
      </c>
      <c r="F2106">
        <v>298.14999999999998</v>
      </c>
      <c r="G2106">
        <v>2030</v>
      </c>
      <c r="H2106">
        <f t="shared" si="128"/>
        <v>-2.08</v>
      </c>
      <c r="I2106">
        <v>0.12493021219858241</v>
      </c>
      <c r="J2106" t="str">
        <f t="shared" si="129"/>
        <v>CCC[N+](CCC)(CCC)CCC.[Cl-]CC(=O)O</v>
      </c>
      <c r="K2106">
        <v>46</v>
      </c>
      <c r="M2106">
        <f t="shared" si="130"/>
        <v>-1.1215370428862177</v>
      </c>
      <c r="N2106">
        <f t="shared" si="131"/>
        <v>0.51399063652923083</v>
      </c>
    </row>
    <row r="2107" spans="1:14" x14ac:dyDescent="0.35">
      <c r="A2107">
        <v>2105</v>
      </c>
      <c r="B2107" t="s">
        <v>11</v>
      </c>
      <c r="C2107" t="s">
        <v>46</v>
      </c>
      <c r="D2107">
        <v>0.14285714285714285</v>
      </c>
      <c r="E2107">
        <v>0.85714285714285721</v>
      </c>
      <c r="F2107">
        <v>298.14999999999998</v>
      </c>
      <c r="G2107">
        <v>1000</v>
      </c>
      <c r="H2107">
        <f t="shared" si="128"/>
        <v>-2.1472922085880102</v>
      </c>
      <c r="I2107">
        <v>0.1168</v>
      </c>
      <c r="J2107" t="str">
        <f t="shared" si="129"/>
        <v>CCCC[N+](CCCC)(CCCC)CCCC.[Br-]C(CO)N</v>
      </c>
      <c r="K2107">
        <v>24</v>
      </c>
      <c r="M2107">
        <f t="shared" si="130"/>
        <v>-1.1215370428862177</v>
      </c>
      <c r="N2107">
        <f t="shared" si="131"/>
        <v>-6.207341890304819E-2</v>
      </c>
    </row>
    <row r="2108" spans="1:14" x14ac:dyDescent="0.35">
      <c r="A2108">
        <v>2106</v>
      </c>
      <c r="B2108" t="s">
        <v>11</v>
      </c>
      <c r="C2108" t="s">
        <v>43</v>
      </c>
      <c r="D2108">
        <v>0.14285714285714285</v>
      </c>
      <c r="E2108">
        <v>0.85714285714285721</v>
      </c>
      <c r="F2108">
        <v>298.14999999999998</v>
      </c>
      <c r="G2108">
        <v>1000</v>
      </c>
      <c r="H2108">
        <f t="shared" si="128"/>
        <v>-2.2672179491567546</v>
      </c>
      <c r="I2108">
        <v>0.1036</v>
      </c>
      <c r="J2108" t="str">
        <f t="shared" si="129"/>
        <v>CCCC[N+](CCCC)(CCCC)CCCC.[Br-]C(CO)NCCO</v>
      </c>
      <c r="K2108">
        <v>25</v>
      </c>
      <c r="M2108">
        <f t="shared" si="130"/>
        <v>-1.1215370428862177</v>
      </c>
      <c r="N2108">
        <f t="shared" si="131"/>
        <v>-6.207341890304819E-2</v>
      </c>
    </row>
    <row r="2109" spans="1:14" x14ac:dyDescent="0.35">
      <c r="A2109">
        <v>2107</v>
      </c>
      <c r="B2109" t="s">
        <v>10</v>
      </c>
      <c r="C2109" t="s">
        <v>46</v>
      </c>
      <c r="D2109">
        <v>0.14285714285714285</v>
      </c>
      <c r="E2109">
        <v>0.85714285714285721</v>
      </c>
      <c r="F2109">
        <v>298.14999999999998</v>
      </c>
      <c r="G2109">
        <v>1000</v>
      </c>
      <c r="H2109">
        <f t="shared" si="128"/>
        <v>-1.9372477759766606</v>
      </c>
      <c r="I2109">
        <v>0.14410000000000001</v>
      </c>
      <c r="J2109" t="str">
        <f t="shared" si="129"/>
        <v>C[P+](C1=CC=CC=C1)(C2=CC=CC=C2)C3=CC=CC=C3.[Br-]C(CO)N</v>
      </c>
      <c r="K2109">
        <v>94</v>
      </c>
      <c r="M2109">
        <f t="shared" si="130"/>
        <v>-1.1215370428862177</v>
      </c>
      <c r="N2109">
        <f t="shared" si="131"/>
        <v>-6.207341890304819E-2</v>
      </c>
    </row>
    <row r="2110" spans="1:14" x14ac:dyDescent="0.35">
      <c r="A2110">
        <v>2108</v>
      </c>
      <c r="B2110" t="s">
        <v>7</v>
      </c>
      <c r="C2110" t="s">
        <v>46</v>
      </c>
      <c r="D2110">
        <v>0.125</v>
      </c>
      <c r="E2110">
        <v>0.875</v>
      </c>
      <c r="F2110">
        <v>298.14999999999998</v>
      </c>
      <c r="G2110">
        <v>182</v>
      </c>
      <c r="H2110">
        <f t="shared" si="128"/>
        <v>-2.94</v>
      </c>
      <c r="I2110">
        <v>5.2865728738350368E-2</v>
      </c>
      <c r="J2110" t="str">
        <f t="shared" si="129"/>
        <v>C[N+](C)(C)CCO.[Cl-]C(CO)N</v>
      </c>
      <c r="K2110">
        <v>79</v>
      </c>
      <c r="M2110">
        <f t="shared" si="130"/>
        <v>-1.1215370428862177</v>
      </c>
      <c r="N2110">
        <f t="shared" si="131"/>
        <v>-0.5195689503046057</v>
      </c>
    </row>
    <row r="2111" spans="1:14" x14ac:dyDescent="0.35">
      <c r="A2111">
        <v>2109</v>
      </c>
      <c r="B2111" t="s">
        <v>7</v>
      </c>
      <c r="C2111" t="s">
        <v>46</v>
      </c>
      <c r="D2111">
        <v>0.125</v>
      </c>
      <c r="E2111">
        <v>0.875</v>
      </c>
      <c r="F2111">
        <v>298.14999999999998</v>
      </c>
      <c r="G2111">
        <v>346</v>
      </c>
      <c r="H2111">
        <f t="shared" si="128"/>
        <v>-2.13</v>
      </c>
      <c r="I2111">
        <v>0.11883729385240965</v>
      </c>
      <c r="J2111" t="str">
        <f t="shared" si="129"/>
        <v>C[N+](C)(C)CCO.[Cl-]C(CO)N</v>
      </c>
      <c r="K2111">
        <v>79</v>
      </c>
      <c r="M2111">
        <f t="shared" si="130"/>
        <v>-1.1215370428862177</v>
      </c>
      <c r="N2111">
        <f t="shared" si="131"/>
        <v>-0.42784612982800985</v>
      </c>
    </row>
    <row r="2112" spans="1:14" x14ac:dyDescent="0.35">
      <c r="A2112">
        <v>2110</v>
      </c>
      <c r="B2112" t="s">
        <v>7</v>
      </c>
      <c r="C2112" t="s">
        <v>46</v>
      </c>
      <c r="D2112">
        <v>0.125</v>
      </c>
      <c r="E2112">
        <v>0.875</v>
      </c>
      <c r="F2112">
        <v>298.14999999999998</v>
      </c>
      <c r="G2112">
        <v>466</v>
      </c>
      <c r="H2112">
        <f t="shared" si="128"/>
        <v>-2.0714733720306588</v>
      </c>
      <c r="I2112">
        <v>0.126</v>
      </c>
      <c r="J2112" t="str">
        <f t="shared" si="129"/>
        <v>C[N+](C)(C)CCO.[Cl-]C(CO)N</v>
      </c>
      <c r="K2112">
        <v>79</v>
      </c>
      <c r="M2112">
        <f t="shared" si="130"/>
        <v>-1.1215370428862177</v>
      </c>
      <c r="N2112">
        <f t="shared" si="131"/>
        <v>-0.36073187094269576</v>
      </c>
    </row>
    <row r="2113" spans="1:14" x14ac:dyDescent="0.35">
      <c r="A2113">
        <v>2111</v>
      </c>
      <c r="B2113" t="s">
        <v>7</v>
      </c>
      <c r="C2113" t="s">
        <v>46</v>
      </c>
      <c r="D2113">
        <v>0.125</v>
      </c>
      <c r="E2113">
        <v>0.875</v>
      </c>
      <c r="F2113">
        <v>298.14999999999998</v>
      </c>
      <c r="G2113">
        <v>651</v>
      </c>
      <c r="H2113">
        <f t="shared" si="128"/>
        <v>-1.83</v>
      </c>
      <c r="I2113">
        <v>0.16041356777517274</v>
      </c>
      <c r="J2113" t="str">
        <f t="shared" si="129"/>
        <v>C[N+](C)(C)CCO.[Cl-]C(CO)N</v>
      </c>
      <c r="K2113">
        <v>79</v>
      </c>
      <c r="M2113">
        <f t="shared" si="130"/>
        <v>-1.1215370428862177</v>
      </c>
      <c r="N2113">
        <f t="shared" si="131"/>
        <v>-0.2572640551611699</v>
      </c>
    </row>
    <row r="2114" spans="1:14" x14ac:dyDescent="0.35">
      <c r="A2114">
        <v>2112</v>
      </c>
      <c r="B2114" t="s">
        <v>7</v>
      </c>
      <c r="C2114" t="s">
        <v>46</v>
      </c>
      <c r="D2114">
        <v>0.125</v>
      </c>
      <c r="E2114">
        <v>0.875</v>
      </c>
      <c r="F2114">
        <v>298.14999999999998</v>
      </c>
      <c r="G2114">
        <v>881</v>
      </c>
      <c r="H2114">
        <f t="shared" si="128"/>
        <v>-1.6450650900772514</v>
      </c>
      <c r="I2114">
        <v>0.193</v>
      </c>
      <c r="J2114" t="str">
        <f t="shared" si="129"/>
        <v>C[N+](C)(C)CCO.[Cl-]C(CO)N</v>
      </c>
      <c r="K2114">
        <v>79</v>
      </c>
      <c r="M2114">
        <f t="shared" si="130"/>
        <v>-1.1215370428862177</v>
      </c>
      <c r="N2114">
        <f t="shared" si="131"/>
        <v>-0.1286283922976513</v>
      </c>
    </row>
    <row r="2115" spans="1:14" x14ac:dyDescent="0.35">
      <c r="A2115">
        <v>2113</v>
      </c>
      <c r="B2115" t="s">
        <v>7</v>
      </c>
      <c r="C2115" t="s">
        <v>46</v>
      </c>
      <c r="D2115">
        <v>0.125</v>
      </c>
      <c r="E2115">
        <v>0.875</v>
      </c>
      <c r="F2115">
        <v>298.14999999999998</v>
      </c>
      <c r="G2115">
        <v>1010</v>
      </c>
      <c r="H2115">
        <f t="shared" ref="H2115:H2178" si="132">LN(I2115)</f>
        <v>-1.5606477482646683</v>
      </c>
      <c r="I2115">
        <v>0.21</v>
      </c>
      <c r="J2115" t="str">
        <f t="shared" ref="J2115:J2178" si="133">_xlfn.CONCAT(B2115,C2115)</f>
        <v>C[N+](C)(C)CCO.[Cl-]C(CO)N</v>
      </c>
      <c r="K2115">
        <v>79</v>
      </c>
      <c r="M2115">
        <f t="shared" ref="M2115:M2178" si="134">(F2115-$L$3)/$L$2</f>
        <v>-1.1215370428862177</v>
      </c>
      <c r="N2115">
        <f t="shared" ref="N2115:N2178" si="135">(G2115-$L$6)/$L$5</f>
        <v>-5.6480563995938683E-2</v>
      </c>
    </row>
    <row r="2116" spans="1:14" x14ac:dyDescent="0.35">
      <c r="A2116">
        <v>2114</v>
      </c>
      <c r="B2116" t="s">
        <v>7</v>
      </c>
      <c r="C2116" t="s">
        <v>46</v>
      </c>
      <c r="D2116">
        <v>0.125</v>
      </c>
      <c r="E2116">
        <v>0.875</v>
      </c>
      <c r="F2116">
        <v>298.14999999999998</v>
      </c>
      <c r="G2116">
        <v>1365</v>
      </c>
      <c r="H2116">
        <f t="shared" si="132"/>
        <v>-1.3983669423541598</v>
      </c>
      <c r="I2116">
        <v>0.247</v>
      </c>
      <c r="J2116" t="str">
        <f t="shared" si="133"/>
        <v>C[N+](C)(C)CCO.[Cl-]C(CO)N</v>
      </c>
      <c r="K2116">
        <v>79</v>
      </c>
      <c r="M2116">
        <f t="shared" si="134"/>
        <v>-1.1215370428862177</v>
      </c>
      <c r="N2116">
        <f t="shared" si="135"/>
        <v>0.14206578520644875</v>
      </c>
    </row>
    <row r="2117" spans="1:14" x14ac:dyDescent="0.35">
      <c r="A2117">
        <v>2115</v>
      </c>
      <c r="B2117" t="s">
        <v>7</v>
      </c>
      <c r="C2117" t="s">
        <v>46</v>
      </c>
      <c r="D2117">
        <v>0.125</v>
      </c>
      <c r="E2117">
        <v>0.875</v>
      </c>
      <c r="F2117">
        <v>298.14999999999998</v>
      </c>
      <c r="G2117">
        <v>1741</v>
      </c>
      <c r="H2117">
        <f t="shared" si="132"/>
        <v>-1.305636458102436</v>
      </c>
      <c r="I2117">
        <v>0.27100000000000002</v>
      </c>
      <c r="J2117" t="str">
        <f t="shared" si="133"/>
        <v>C[N+](C)(C)CCO.[Cl-]C(CO)N</v>
      </c>
      <c r="K2117">
        <v>79</v>
      </c>
      <c r="M2117">
        <f t="shared" si="134"/>
        <v>-1.1215370428862177</v>
      </c>
      <c r="N2117">
        <f t="shared" si="135"/>
        <v>0.35235712971376615</v>
      </c>
    </row>
    <row r="2118" spans="1:14" x14ac:dyDescent="0.35">
      <c r="A2118">
        <v>2116</v>
      </c>
      <c r="B2118" t="s">
        <v>7</v>
      </c>
      <c r="C2118" t="s">
        <v>46</v>
      </c>
      <c r="D2118">
        <v>0.125</v>
      </c>
      <c r="E2118">
        <v>0.875</v>
      </c>
      <c r="F2118">
        <v>298.14999999999998</v>
      </c>
      <c r="G2118">
        <v>2035</v>
      </c>
      <c r="H2118">
        <f t="shared" si="132"/>
        <v>-1.2517634681622845</v>
      </c>
      <c r="I2118">
        <v>0.28599999999999998</v>
      </c>
      <c r="J2118" t="str">
        <f t="shared" si="133"/>
        <v>C[N+](C)(C)CCO.[Cl-]C(CO)N</v>
      </c>
      <c r="K2118">
        <v>79</v>
      </c>
      <c r="M2118">
        <f t="shared" si="134"/>
        <v>-1.1215370428862177</v>
      </c>
      <c r="N2118">
        <f t="shared" si="135"/>
        <v>0.51678706398278562</v>
      </c>
    </row>
    <row r="2119" spans="1:14" x14ac:dyDescent="0.35">
      <c r="A2119">
        <v>2117</v>
      </c>
      <c r="B2119" t="s">
        <v>11</v>
      </c>
      <c r="C2119" t="s">
        <v>46</v>
      </c>
      <c r="D2119">
        <v>0.125</v>
      </c>
      <c r="E2119">
        <v>0.875</v>
      </c>
      <c r="F2119">
        <v>298.14999999999998</v>
      </c>
      <c r="G2119">
        <v>381</v>
      </c>
      <c r="H2119">
        <f t="shared" si="132"/>
        <v>-3.05</v>
      </c>
      <c r="I2119">
        <v>4.7358924391140929E-2</v>
      </c>
      <c r="J2119" t="str">
        <f t="shared" si="133"/>
        <v>CCCC[N+](CCCC)(CCCC)CCCC.[Br-]C(CO)N</v>
      </c>
      <c r="K2119">
        <v>24</v>
      </c>
      <c r="M2119">
        <f t="shared" si="134"/>
        <v>-1.1215370428862177</v>
      </c>
      <c r="N2119">
        <f t="shared" si="135"/>
        <v>-0.40827113765312656</v>
      </c>
    </row>
    <row r="2120" spans="1:14" x14ac:dyDescent="0.35">
      <c r="A2120">
        <v>2118</v>
      </c>
      <c r="B2120" t="s">
        <v>11</v>
      </c>
      <c r="C2120" t="s">
        <v>46</v>
      </c>
      <c r="D2120">
        <v>0.125</v>
      </c>
      <c r="E2120">
        <v>0.875</v>
      </c>
      <c r="F2120">
        <v>298.14999999999998</v>
      </c>
      <c r="G2120">
        <v>637</v>
      </c>
      <c r="H2120">
        <f t="shared" si="132"/>
        <v>-2.29</v>
      </c>
      <c r="I2120">
        <v>0.1012664618538834</v>
      </c>
      <c r="J2120" t="str">
        <f t="shared" si="133"/>
        <v>CCCC[N+](CCCC)(CCCC)CCCC.[Br-]C(CO)N</v>
      </c>
      <c r="K2120">
        <v>24</v>
      </c>
      <c r="M2120">
        <f t="shared" si="134"/>
        <v>-1.1215370428862177</v>
      </c>
      <c r="N2120">
        <f t="shared" si="135"/>
        <v>-0.26509405203112324</v>
      </c>
    </row>
    <row r="2121" spans="1:14" x14ac:dyDescent="0.35">
      <c r="A2121">
        <v>2119</v>
      </c>
      <c r="B2121" t="s">
        <v>11</v>
      </c>
      <c r="C2121" t="s">
        <v>46</v>
      </c>
      <c r="D2121">
        <v>0.125</v>
      </c>
      <c r="E2121">
        <v>0.875</v>
      </c>
      <c r="F2121">
        <v>298.14999999999998</v>
      </c>
      <c r="G2121">
        <v>940</v>
      </c>
      <c r="H2121">
        <f t="shared" si="132"/>
        <v>-1.79</v>
      </c>
      <c r="I2121">
        <v>0.16696016966704069</v>
      </c>
      <c r="J2121" t="str">
        <f t="shared" si="133"/>
        <v>CCCC[N+](CCCC)(CCCC)CCCC.[Br-]C(CO)N</v>
      </c>
      <c r="K2121">
        <v>24</v>
      </c>
      <c r="M2121">
        <f t="shared" si="134"/>
        <v>-1.1215370428862177</v>
      </c>
      <c r="N2121">
        <f t="shared" si="135"/>
        <v>-9.5630548345705224E-2</v>
      </c>
    </row>
    <row r="2122" spans="1:14" x14ac:dyDescent="0.35">
      <c r="A2122">
        <v>2120</v>
      </c>
      <c r="B2122" t="s">
        <v>11</v>
      </c>
      <c r="C2122" t="s">
        <v>46</v>
      </c>
      <c r="D2122">
        <v>0.125</v>
      </c>
      <c r="E2122">
        <v>0.875</v>
      </c>
      <c r="F2122">
        <v>298.14999999999998</v>
      </c>
      <c r="G2122">
        <v>1251</v>
      </c>
      <c r="H2122">
        <f t="shared" si="132"/>
        <v>-1.61</v>
      </c>
      <c r="I2122">
        <v>0.19988761407514449</v>
      </c>
      <c r="J2122" t="str">
        <f t="shared" si="133"/>
        <v>CCCC[N+](CCCC)(CCCC)CCCC.[Br-]C(CO)N</v>
      </c>
      <c r="K2122">
        <v>24</v>
      </c>
      <c r="M2122">
        <f t="shared" si="134"/>
        <v>-1.1215370428862177</v>
      </c>
      <c r="N2122">
        <f t="shared" si="135"/>
        <v>7.8307239265400397E-2</v>
      </c>
    </row>
    <row r="2123" spans="1:14" x14ac:dyDescent="0.35">
      <c r="A2123">
        <v>2121</v>
      </c>
      <c r="B2123" t="s">
        <v>11</v>
      </c>
      <c r="C2123" t="s">
        <v>46</v>
      </c>
      <c r="D2123">
        <v>0.125</v>
      </c>
      <c r="E2123">
        <v>0.875</v>
      </c>
      <c r="F2123">
        <v>298.14999999999998</v>
      </c>
      <c r="G2123">
        <v>1627</v>
      </c>
      <c r="H2123">
        <f t="shared" si="132"/>
        <v>-1.55</v>
      </c>
      <c r="I2123">
        <v>0.21224797382674304</v>
      </c>
      <c r="J2123" t="str">
        <f t="shared" si="133"/>
        <v>CCCC[N+](CCCC)(CCCC)CCCC.[Br-]C(CO)N</v>
      </c>
      <c r="K2123">
        <v>24</v>
      </c>
      <c r="M2123">
        <f t="shared" si="134"/>
        <v>-1.1215370428862177</v>
      </c>
      <c r="N2123">
        <f t="shared" si="135"/>
        <v>0.2885985837727178</v>
      </c>
    </row>
    <row r="2124" spans="1:14" x14ac:dyDescent="0.35">
      <c r="A2124">
        <v>2122</v>
      </c>
      <c r="B2124" t="s">
        <v>11</v>
      </c>
      <c r="C2124" t="s">
        <v>46</v>
      </c>
      <c r="D2124">
        <v>0.125</v>
      </c>
      <c r="E2124">
        <v>0.875</v>
      </c>
      <c r="F2124">
        <v>298.14999999999998</v>
      </c>
      <c r="G2124">
        <v>2040</v>
      </c>
      <c r="H2124">
        <f t="shared" si="132"/>
        <v>-1.51</v>
      </c>
      <c r="I2124">
        <v>0.2209099779593782</v>
      </c>
      <c r="J2124" t="str">
        <f t="shared" si="133"/>
        <v>CCCC[N+](CCCC)(CCCC)CCCC.[Br-]C(CO)N</v>
      </c>
      <c r="K2124">
        <v>24</v>
      </c>
      <c r="M2124">
        <f t="shared" si="134"/>
        <v>-1.1215370428862177</v>
      </c>
      <c r="N2124">
        <f t="shared" si="135"/>
        <v>0.51958349143634031</v>
      </c>
    </row>
    <row r="2125" spans="1:14" x14ac:dyDescent="0.35">
      <c r="A2125">
        <v>2123</v>
      </c>
      <c r="B2125" t="s">
        <v>22</v>
      </c>
      <c r="C2125" t="s">
        <v>46</v>
      </c>
      <c r="D2125">
        <v>0.125</v>
      </c>
      <c r="E2125">
        <v>0.875</v>
      </c>
      <c r="F2125">
        <v>298.14999999999998</v>
      </c>
      <c r="G2125">
        <v>357</v>
      </c>
      <c r="H2125">
        <f t="shared" si="132"/>
        <v>-2.1</v>
      </c>
      <c r="I2125">
        <v>0.12245642825298191</v>
      </c>
      <c r="J2125" t="str">
        <f t="shared" si="133"/>
        <v>CCC[N+](CCC)(CCC)CCC.[Cl-]C(CO)N</v>
      </c>
      <c r="K2125">
        <v>45</v>
      </c>
      <c r="M2125">
        <f t="shared" si="134"/>
        <v>-1.1215370428862177</v>
      </c>
      <c r="N2125">
        <f t="shared" si="135"/>
        <v>-0.42169398943018938</v>
      </c>
    </row>
    <row r="2126" spans="1:14" x14ac:dyDescent="0.35">
      <c r="A2126">
        <v>2124</v>
      </c>
      <c r="B2126" t="s">
        <v>22</v>
      </c>
      <c r="C2126" t="s">
        <v>46</v>
      </c>
      <c r="D2126">
        <v>0.125</v>
      </c>
      <c r="E2126">
        <v>0.875</v>
      </c>
      <c r="F2126">
        <v>298.14999999999998</v>
      </c>
      <c r="G2126">
        <v>645</v>
      </c>
      <c r="H2126">
        <f t="shared" si="132"/>
        <v>-1.95</v>
      </c>
      <c r="I2126">
        <v>0.14227407158651359</v>
      </c>
      <c r="J2126" t="str">
        <f t="shared" si="133"/>
        <v>CCC[N+](CCC)(CCC)CCC.[Cl-]C(CO)N</v>
      </c>
      <c r="K2126">
        <v>45</v>
      </c>
      <c r="M2126">
        <f t="shared" si="134"/>
        <v>-1.1215370428862177</v>
      </c>
      <c r="N2126">
        <f t="shared" si="135"/>
        <v>-0.26061976810543563</v>
      </c>
    </row>
    <row r="2127" spans="1:14" x14ac:dyDescent="0.35">
      <c r="A2127">
        <v>2125</v>
      </c>
      <c r="B2127" t="s">
        <v>22</v>
      </c>
      <c r="C2127" t="s">
        <v>46</v>
      </c>
      <c r="D2127">
        <v>0.125</v>
      </c>
      <c r="E2127">
        <v>0.875</v>
      </c>
      <c r="F2127">
        <v>298.14999999999998</v>
      </c>
      <c r="G2127">
        <v>952</v>
      </c>
      <c r="H2127">
        <f t="shared" si="132"/>
        <v>-1.72</v>
      </c>
      <c r="I2127">
        <v>0.17906614791149322</v>
      </c>
      <c r="J2127" t="str">
        <f t="shared" si="133"/>
        <v>CCC[N+](CCC)(CCC)CCC.[Cl-]C(CO)N</v>
      </c>
      <c r="K2127">
        <v>45</v>
      </c>
      <c r="M2127">
        <f t="shared" si="134"/>
        <v>-1.1215370428862177</v>
      </c>
      <c r="N2127">
        <f t="shared" si="135"/>
        <v>-8.8919122457173816E-2</v>
      </c>
    </row>
    <row r="2128" spans="1:14" x14ac:dyDescent="0.35">
      <c r="A2128">
        <v>2126</v>
      </c>
      <c r="B2128" t="s">
        <v>22</v>
      </c>
      <c r="C2128" t="s">
        <v>46</v>
      </c>
      <c r="D2128">
        <v>0.125</v>
      </c>
      <c r="E2128">
        <v>0.875</v>
      </c>
      <c r="F2128">
        <v>298.14999999999998</v>
      </c>
      <c r="G2128">
        <v>1232</v>
      </c>
      <c r="H2128">
        <f t="shared" si="132"/>
        <v>-1.59</v>
      </c>
      <c r="I2128">
        <v>0.20392561173421342</v>
      </c>
      <c r="J2128" t="str">
        <f t="shared" si="133"/>
        <v>CCC[N+](CCC)(CCC)CCC.[Cl-]C(CO)N</v>
      </c>
      <c r="K2128">
        <v>45</v>
      </c>
      <c r="M2128">
        <f t="shared" si="134"/>
        <v>-1.1215370428862177</v>
      </c>
      <c r="N2128">
        <f t="shared" si="135"/>
        <v>6.7680814941892334E-2</v>
      </c>
    </row>
    <row r="2129" spans="1:14" x14ac:dyDescent="0.35">
      <c r="A2129">
        <v>2127</v>
      </c>
      <c r="B2129" t="s">
        <v>22</v>
      </c>
      <c r="C2129" t="s">
        <v>46</v>
      </c>
      <c r="D2129">
        <v>0.125</v>
      </c>
      <c r="E2129">
        <v>0.875</v>
      </c>
      <c r="F2129">
        <v>298.14999999999998</v>
      </c>
      <c r="G2129">
        <v>1673</v>
      </c>
      <c r="H2129">
        <f t="shared" si="132"/>
        <v>-1.52</v>
      </c>
      <c r="I2129">
        <v>0.21871188695221475</v>
      </c>
      <c r="J2129" t="str">
        <f t="shared" si="133"/>
        <v>CCC[N+](CCC)(CCC)CCC.[Cl-]C(CO)N</v>
      </c>
      <c r="K2129">
        <v>45</v>
      </c>
      <c r="M2129">
        <f t="shared" si="134"/>
        <v>-1.1215370428862177</v>
      </c>
      <c r="N2129">
        <f t="shared" si="135"/>
        <v>0.3143257163454215</v>
      </c>
    </row>
    <row r="2130" spans="1:14" x14ac:dyDescent="0.35">
      <c r="A2130">
        <v>2128</v>
      </c>
      <c r="B2130" t="s">
        <v>22</v>
      </c>
      <c r="C2130" t="s">
        <v>46</v>
      </c>
      <c r="D2130">
        <v>0.125</v>
      </c>
      <c r="E2130">
        <v>0.875</v>
      </c>
      <c r="F2130">
        <v>298.14999999999998</v>
      </c>
      <c r="G2130">
        <v>2019</v>
      </c>
      <c r="H2130">
        <f t="shared" si="132"/>
        <v>-1.5</v>
      </c>
      <c r="I2130">
        <v>0.22313016014842982</v>
      </c>
      <c r="J2130" t="str">
        <f t="shared" si="133"/>
        <v>CCC[N+](CCC)(CCC)CCC.[Cl-]C(CO)N</v>
      </c>
      <c r="K2130">
        <v>45</v>
      </c>
      <c r="M2130">
        <f t="shared" si="134"/>
        <v>-1.1215370428862177</v>
      </c>
      <c r="N2130">
        <f t="shared" si="135"/>
        <v>0.50783849613141041</v>
      </c>
    </row>
    <row r="2131" spans="1:14" x14ac:dyDescent="0.35">
      <c r="A2131">
        <v>2129</v>
      </c>
      <c r="B2131" t="s">
        <v>7</v>
      </c>
      <c r="C2131" t="s">
        <v>56</v>
      </c>
      <c r="D2131">
        <v>0.125</v>
      </c>
      <c r="E2131">
        <v>0.875</v>
      </c>
      <c r="F2131">
        <v>303.14999999999998</v>
      </c>
      <c r="G2131">
        <v>594.5</v>
      </c>
      <c r="H2131">
        <f t="shared" si="132"/>
        <v>-2.1294724752854011</v>
      </c>
      <c r="I2131">
        <v>0.11890000000000001</v>
      </c>
      <c r="J2131" t="str">
        <f t="shared" si="133"/>
        <v>C[N+](C)(C)CCO.[Cl-]CN(CCO)CCO</v>
      </c>
      <c r="K2131">
        <v>89</v>
      </c>
      <c r="M2131">
        <f t="shared" si="134"/>
        <v>-0.72967870461249518</v>
      </c>
      <c r="N2131">
        <f t="shared" si="135"/>
        <v>-0.28886368538633861</v>
      </c>
    </row>
    <row r="2132" spans="1:14" x14ac:dyDescent="0.35">
      <c r="A2132">
        <v>2130</v>
      </c>
      <c r="B2132" t="s">
        <v>7</v>
      </c>
      <c r="C2132" t="s">
        <v>56</v>
      </c>
      <c r="D2132">
        <v>0.125</v>
      </c>
      <c r="E2132">
        <v>0.875</v>
      </c>
      <c r="F2132">
        <v>303.14999999999998</v>
      </c>
      <c r="G2132">
        <v>674.3</v>
      </c>
      <c r="H2132">
        <f t="shared" si="132"/>
        <v>-2.06</v>
      </c>
      <c r="I2132">
        <v>0.12745396989482075</v>
      </c>
      <c r="J2132" t="str">
        <f t="shared" si="133"/>
        <v>C[N+](C)(C)CCO.[Cl-]CN(CCO)CCO</v>
      </c>
      <c r="K2132">
        <v>89</v>
      </c>
      <c r="M2132">
        <f t="shared" si="134"/>
        <v>-0.72967870461249518</v>
      </c>
      <c r="N2132">
        <f t="shared" si="135"/>
        <v>-0.24423270322760479</v>
      </c>
    </row>
    <row r="2133" spans="1:14" x14ac:dyDescent="0.35">
      <c r="A2133">
        <v>2131</v>
      </c>
      <c r="B2133" t="s">
        <v>7</v>
      </c>
      <c r="C2133" t="s">
        <v>56</v>
      </c>
      <c r="D2133">
        <v>0.125</v>
      </c>
      <c r="E2133">
        <v>0.875</v>
      </c>
      <c r="F2133">
        <v>303.14999999999998</v>
      </c>
      <c r="G2133">
        <v>723.4</v>
      </c>
      <c r="H2133">
        <f t="shared" si="132"/>
        <v>-1.9661128563728327</v>
      </c>
      <c r="I2133">
        <v>0.14000000000000001</v>
      </c>
      <c r="J2133" t="str">
        <f t="shared" si="133"/>
        <v>C[N+](C)(C)CCO.[Cl-]CN(CCO)CCO</v>
      </c>
      <c r="K2133">
        <v>89</v>
      </c>
      <c r="M2133">
        <f t="shared" si="134"/>
        <v>-0.72967870461249518</v>
      </c>
      <c r="N2133">
        <f t="shared" si="135"/>
        <v>-0.21677178563369712</v>
      </c>
    </row>
    <row r="2134" spans="1:14" x14ac:dyDescent="0.35">
      <c r="A2134">
        <v>2132</v>
      </c>
      <c r="B2134" t="s">
        <v>7</v>
      </c>
      <c r="C2134" t="s">
        <v>56</v>
      </c>
      <c r="D2134">
        <v>0.125</v>
      </c>
      <c r="E2134">
        <v>0.875</v>
      </c>
      <c r="F2134">
        <v>303.14999999999998</v>
      </c>
      <c r="G2134">
        <v>802.5</v>
      </c>
      <c r="H2134">
        <f t="shared" si="132"/>
        <v>-1.8183088044615916</v>
      </c>
      <c r="I2134">
        <v>0.1623</v>
      </c>
      <c r="J2134" t="str">
        <f t="shared" si="133"/>
        <v>C[N+](C)(C)CCO.[Cl-]CN(CCO)CCO</v>
      </c>
      <c r="K2134">
        <v>89</v>
      </c>
      <c r="M2134">
        <f t="shared" si="134"/>
        <v>-0.72967870461249518</v>
      </c>
      <c r="N2134">
        <f t="shared" si="135"/>
        <v>-0.17253230331846092</v>
      </c>
    </row>
    <row r="2135" spans="1:14" x14ac:dyDescent="0.35">
      <c r="A2135">
        <v>2133</v>
      </c>
      <c r="B2135" t="s">
        <v>7</v>
      </c>
      <c r="C2135" t="s">
        <v>56</v>
      </c>
      <c r="D2135">
        <v>0.125</v>
      </c>
      <c r="E2135">
        <v>0.875</v>
      </c>
      <c r="F2135">
        <v>303.14999999999998</v>
      </c>
      <c r="G2135">
        <v>940.7</v>
      </c>
      <c r="H2135">
        <f t="shared" si="132"/>
        <v>-1.6633662544596559</v>
      </c>
      <c r="I2135">
        <v>0.1895</v>
      </c>
      <c r="J2135" t="str">
        <f t="shared" si="133"/>
        <v>C[N+](C)(C)CCO.[Cl-]CN(CCO)CCO</v>
      </c>
      <c r="K2135">
        <v>89</v>
      </c>
      <c r="M2135">
        <f t="shared" si="134"/>
        <v>-0.72967870461249518</v>
      </c>
      <c r="N2135">
        <f t="shared" si="135"/>
        <v>-9.5239048502207532E-2</v>
      </c>
    </row>
    <row r="2136" spans="1:14" x14ac:dyDescent="0.35">
      <c r="A2136">
        <v>2134</v>
      </c>
      <c r="B2136" t="s">
        <v>7</v>
      </c>
      <c r="C2136" t="s">
        <v>56</v>
      </c>
      <c r="D2136">
        <v>0.125</v>
      </c>
      <c r="E2136">
        <v>0.875</v>
      </c>
      <c r="F2136">
        <v>303.14999999999998</v>
      </c>
      <c r="G2136">
        <v>1034.5</v>
      </c>
      <c r="H2136">
        <f t="shared" si="132"/>
        <v>-1.6164625273710649</v>
      </c>
      <c r="I2136">
        <v>0.1986</v>
      </c>
      <c r="J2136" t="str">
        <f t="shared" si="133"/>
        <v>C[N+](C)(C)CCO.[Cl-]CN(CCO)CCO</v>
      </c>
      <c r="K2136">
        <v>89</v>
      </c>
      <c r="M2136">
        <f t="shared" si="134"/>
        <v>-0.72967870461249518</v>
      </c>
      <c r="N2136">
        <f t="shared" si="135"/>
        <v>-4.2778069473520398E-2</v>
      </c>
    </row>
    <row r="2137" spans="1:14" x14ac:dyDescent="0.35">
      <c r="A2137">
        <v>2135</v>
      </c>
      <c r="B2137" t="s">
        <v>10</v>
      </c>
      <c r="C2137" t="s">
        <v>46</v>
      </c>
      <c r="D2137">
        <v>0.125</v>
      </c>
      <c r="E2137">
        <v>0.875</v>
      </c>
      <c r="F2137">
        <v>298.14999999999998</v>
      </c>
      <c r="G2137">
        <v>1000</v>
      </c>
      <c r="H2137">
        <f t="shared" si="132"/>
        <v>-2.0762466507833168</v>
      </c>
      <c r="I2137">
        <v>0.12540000000000001</v>
      </c>
      <c r="J2137" t="str">
        <f t="shared" si="133"/>
        <v>C[P+](C1=CC=CC=C1)(C2=CC=CC=C2)C3=CC=CC=C3.[Br-]C(CO)N</v>
      </c>
      <c r="K2137">
        <v>94</v>
      </c>
      <c r="M2137">
        <f t="shared" si="134"/>
        <v>-1.1215370428862177</v>
      </c>
      <c r="N2137">
        <f t="shared" si="135"/>
        <v>-6.207341890304819E-2</v>
      </c>
    </row>
    <row r="2138" spans="1:14" x14ac:dyDescent="0.35">
      <c r="A2138">
        <v>2136</v>
      </c>
      <c r="B2138" t="s">
        <v>10</v>
      </c>
      <c r="C2138" t="s">
        <v>46</v>
      </c>
      <c r="D2138">
        <v>0.1111111111111111</v>
      </c>
      <c r="E2138">
        <v>0.88888888888888884</v>
      </c>
      <c r="F2138">
        <v>298.14999999999998</v>
      </c>
      <c r="G2138">
        <v>1000</v>
      </c>
      <c r="H2138">
        <f t="shared" si="132"/>
        <v>-2.1294724752854011</v>
      </c>
      <c r="I2138">
        <v>0.11890000000000001</v>
      </c>
      <c r="J2138" t="str">
        <f t="shared" si="133"/>
        <v>C[P+](C1=CC=CC=C1)(C2=CC=CC=C2)C3=CC=CC=C3.[Br-]C(CO)N</v>
      </c>
      <c r="K2138">
        <v>94</v>
      </c>
      <c r="M2138">
        <f t="shared" si="134"/>
        <v>-1.1215370428862177</v>
      </c>
      <c r="N2138">
        <f t="shared" si="135"/>
        <v>-6.207341890304819E-2</v>
      </c>
    </row>
    <row r="2139" spans="1:14" x14ac:dyDescent="0.35">
      <c r="A2139">
        <v>2137</v>
      </c>
      <c r="B2139" t="s">
        <v>3</v>
      </c>
      <c r="C2139" t="s">
        <v>45</v>
      </c>
      <c r="D2139">
        <v>9.0909090909090912E-2</v>
      </c>
      <c r="E2139">
        <v>0.90909090909090906</v>
      </c>
      <c r="F2139">
        <v>303.14999999999998</v>
      </c>
      <c r="G2139">
        <v>156</v>
      </c>
      <c r="H2139">
        <f t="shared" si="132"/>
        <v>-3.56</v>
      </c>
      <c r="I2139">
        <v>2.8438824714184505E-2</v>
      </c>
      <c r="J2139" t="str">
        <f t="shared" si="133"/>
        <v>C=CC[P+](C1=CC=CC=C1)(C2=CC=CC=C2)C3=CC=CC=C3.[Br-]C(COCCO)O</v>
      </c>
      <c r="K2139">
        <v>7</v>
      </c>
      <c r="M2139">
        <f t="shared" si="134"/>
        <v>-0.72967870461249518</v>
      </c>
      <c r="N2139">
        <f t="shared" si="135"/>
        <v>-0.53411037306309039</v>
      </c>
    </row>
    <row r="2140" spans="1:14" x14ac:dyDescent="0.35">
      <c r="A2140">
        <v>2138</v>
      </c>
      <c r="B2140" t="s">
        <v>3</v>
      </c>
      <c r="C2140" t="s">
        <v>45</v>
      </c>
      <c r="D2140">
        <v>9.0909090909090912E-2</v>
      </c>
      <c r="E2140">
        <v>0.90909090909090906</v>
      </c>
      <c r="F2140">
        <v>303.14999999999998</v>
      </c>
      <c r="G2140">
        <v>340</v>
      </c>
      <c r="H2140">
        <f t="shared" si="132"/>
        <v>-2.76</v>
      </c>
      <c r="I2140">
        <v>6.3291768359640732E-2</v>
      </c>
      <c r="J2140" t="str">
        <f t="shared" si="133"/>
        <v>C=CC[P+](C1=CC=CC=C1)(C2=CC=CC=C2)C3=CC=CC=C3.[Br-]C(COCCO)O</v>
      </c>
      <c r="K2140">
        <v>7</v>
      </c>
      <c r="M2140">
        <f t="shared" si="134"/>
        <v>-0.72967870461249518</v>
      </c>
      <c r="N2140">
        <f t="shared" si="135"/>
        <v>-0.43120184277227552</v>
      </c>
    </row>
    <row r="2141" spans="1:14" x14ac:dyDescent="0.35">
      <c r="A2141">
        <v>2139</v>
      </c>
      <c r="B2141" t="s">
        <v>3</v>
      </c>
      <c r="C2141" t="s">
        <v>45</v>
      </c>
      <c r="D2141">
        <v>9.0909090909090912E-2</v>
      </c>
      <c r="E2141">
        <v>0.90909090909090906</v>
      </c>
      <c r="F2141">
        <v>303.14999999999998</v>
      </c>
      <c r="G2141">
        <v>490</v>
      </c>
      <c r="H2141">
        <f t="shared" si="132"/>
        <v>-2.37</v>
      </c>
      <c r="I2141">
        <v>9.3480726278058465E-2</v>
      </c>
      <c r="J2141" t="str">
        <f t="shared" si="133"/>
        <v>C=CC[P+](C1=CC=CC=C1)(C2=CC=CC=C2)C3=CC=CC=C3.[Br-]C(COCCO)O</v>
      </c>
      <c r="K2141">
        <v>7</v>
      </c>
      <c r="M2141">
        <f t="shared" si="134"/>
        <v>-0.72967870461249518</v>
      </c>
      <c r="N2141">
        <f t="shared" si="135"/>
        <v>-0.34730901916563295</v>
      </c>
    </row>
    <row r="2142" spans="1:14" x14ac:dyDescent="0.35">
      <c r="A2142">
        <v>2140</v>
      </c>
      <c r="B2142" t="s">
        <v>3</v>
      </c>
      <c r="C2142" t="s">
        <v>45</v>
      </c>
      <c r="D2142">
        <v>9.0909090909090912E-2</v>
      </c>
      <c r="E2142">
        <v>0.90909090909090906</v>
      </c>
      <c r="F2142">
        <v>303.14999999999998</v>
      </c>
      <c r="G2142">
        <v>734</v>
      </c>
      <c r="H2142">
        <f t="shared" si="132"/>
        <v>-1.93</v>
      </c>
      <c r="I2142">
        <v>0.14514819848362373</v>
      </c>
      <c r="J2142" t="str">
        <f t="shared" si="133"/>
        <v>C=CC[P+](C1=CC=CC=C1)(C2=CC=CC=C2)C3=CC=CC=C3.[Br-]C(COCCO)O</v>
      </c>
      <c r="K2142">
        <v>7</v>
      </c>
      <c r="M2142">
        <f t="shared" si="134"/>
        <v>-0.72967870461249518</v>
      </c>
      <c r="N2142">
        <f t="shared" si="135"/>
        <v>-0.21084335943216104</v>
      </c>
    </row>
    <row r="2143" spans="1:14" x14ac:dyDescent="0.35">
      <c r="A2143">
        <v>2141</v>
      </c>
      <c r="B2143" t="s">
        <v>3</v>
      </c>
      <c r="C2143" t="s">
        <v>45</v>
      </c>
      <c r="D2143">
        <v>9.0909090909090912E-2</v>
      </c>
      <c r="E2143">
        <v>0.90909090909090906</v>
      </c>
      <c r="F2143">
        <v>303.14999999999998</v>
      </c>
      <c r="G2143">
        <v>884</v>
      </c>
      <c r="H2143">
        <f t="shared" si="132"/>
        <v>-1.71</v>
      </c>
      <c r="I2143">
        <v>0.1808657926171221</v>
      </c>
      <c r="J2143" t="str">
        <f t="shared" si="133"/>
        <v>C=CC[P+](C1=CC=CC=C1)(C2=CC=CC=C2)C3=CC=CC=C3.[Br-]C(COCCO)O</v>
      </c>
      <c r="K2143">
        <v>7</v>
      </c>
      <c r="M2143">
        <f t="shared" si="134"/>
        <v>-0.72967870461249518</v>
      </c>
      <c r="N2143">
        <f t="shared" si="135"/>
        <v>-0.12695053582551846</v>
      </c>
    </row>
    <row r="2144" spans="1:14" x14ac:dyDescent="0.35">
      <c r="A2144">
        <v>2142</v>
      </c>
      <c r="B2144" t="s">
        <v>3</v>
      </c>
      <c r="C2144" t="s">
        <v>45</v>
      </c>
      <c r="D2144">
        <v>9.0909090909090912E-2</v>
      </c>
      <c r="E2144">
        <v>0.90909090909090906</v>
      </c>
      <c r="F2144">
        <v>303.14999999999998</v>
      </c>
      <c r="G2144">
        <v>1115.0005650000001</v>
      </c>
      <c r="H2144">
        <f t="shared" si="132"/>
        <v>-1.4705459135674817</v>
      </c>
      <c r="I2144">
        <v>0.2298</v>
      </c>
      <c r="J2144" t="str">
        <f t="shared" si="133"/>
        <v>C=CC[P+](C1=CC=CC=C1)(C2=CC=CC=C2)C3=CC=CC=C3.[Br-]C(COCCO)O</v>
      </c>
      <c r="K2144">
        <v>7</v>
      </c>
      <c r="M2144">
        <f t="shared" si="134"/>
        <v>-0.72967870461249518</v>
      </c>
      <c r="N2144">
        <f t="shared" si="135"/>
        <v>2.2447285250134005E-3</v>
      </c>
    </row>
    <row r="2145" spans="1:14" x14ac:dyDescent="0.35">
      <c r="A2145">
        <v>2143</v>
      </c>
      <c r="B2145" t="s">
        <v>3</v>
      </c>
      <c r="C2145" t="s">
        <v>45</v>
      </c>
      <c r="D2145">
        <v>9.0909090909090912E-2</v>
      </c>
      <c r="E2145">
        <v>0.90909090909090906</v>
      </c>
      <c r="F2145">
        <v>303.14999999999998</v>
      </c>
      <c r="G2145">
        <v>1468.9997175000001</v>
      </c>
      <c r="H2145">
        <f t="shared" si="132"/>
        <v>-1.1457038962019601</v>
      </c>
      <c r="I2145">
        <v>0.318</v>
      </c>
      <c r="J2145" t="str">
        <f t="shared" si="133"/>
        <v>C=CC[P+](C1=CC=CC=C1)(C2=CC=CC=C2)C3=CC=CC=C3.[Br-]C(COCCO)O</v>
      </c>
      <c r="K2145">
        <v>7</v>
      </c>
      <c r="M2145">
        <f t="shared" si="134"/>
        <v>-0.72967870461249518</v>
      </c>
      <c r="N2145">
        <f t="shared" si="135"/>
        <v>0.20023131824223653</v>
      </c>
    </row>
    <row r="2146" spans="1:14" x14ac:dyDescent="0.35">
      <c r="A2146">
        <v>2144</v>
      </c>
      <c r="B2146" t="s">
        <v>3</v>
      </c>
      <c r="C2146" t="s">
        <v>45</v>
      </c>
      <c r="D2146">
        <v>9.0909090909090912E-2</v>
      </c>
      <c r="E2146">
        <v>0.90909090909090906</v>
      </c>
      <c r="F2146">
        <v>303.14999999999998</v>
      </c>
      <c r="G2146">
        <v>1954.0019625</v>
      </c>
      <c r="H2146">
        <f t="shared" si="132"/>
        <v>-0.83979276090143007</v>
      </c>
      <c r="I2146">
        <v>0.43180000000000002</v>
      </c>
      <c r="J2146" t="str">
        <f t="shared" si="133"/>
        <v>C=CC[P+](C1=CC=CC=C1)(C2=CC=CC=C2)C3=CC=CC=C3.[Br-]C(COCCO)O</v>
      </c>
      <c r="K2146">
        <v>7</v>
      </c>
      <c r="M2146">
        <f t="shared" si="134"/>
        <v>-0.72967870461249518</v>
      </c>
      <c r="N2146">
        <f t="shared" si="135"/>
        <v>0.47148603683297413</v>
      </c>
    </row>
    <row r="2147" spans="1:14" x14ac:dyDescent="0.35">
      <c r="A2147">
        <v>2145</v>
      </c>
      <c r="B2147" t="s">
        <v>3</v>
      </c>
      <c r="C2147" t="s">
        <v>60</v>
      </c>
      <c r="D2147">
        <v>9.0909090909090912E-2</v>
      </c>
      <c r="E2147">
        <v>0.90909090909090906</v>
      </c>
      <c r="F2147">
        <v>303.14999999999998</v>
      </c>
      <c r="G2147">
        <v>149</v>
      </c>
      <c r="H2147">
        <f t="shared" si="132"/>
        <v>-3.52</v>
      </c>
      <c r="I2147">
        <v>2.9599435167891999E-2</v>
      </c>
      <c r="J2147" t="str">
        <f t="shared" si="133"/>
        <v>C=CC[P+](C1=CC=CC=C1)(C2=CC=CC=C2)C3=CC=CC=C3.[Br-]C(COCCOCCO)O</v>
      </c>
      <c r="K2147">
        <v>8</v>
      </c>
      <c r="M2147">
        <f t="shared" si="134"/>
        <v>-0.72967870461249518</v>
      </c>
      <c r="N2147">
        <f t="shared" si="135"/>
        <v>-0.53802537149806706</v>
      </c>
    </row>
    <row r="2148" spans="1:14" x14ac:dyDescent="0.35">
      <c r="A2148">
        <v>2146</v>
      </c>
      <c r="B2148" t="s">
        <v>3</v>
      </c>
      <c r="C2148" t="s">
        <v>60</v>
      </c>
      <c r="D2148">
        <v>9.0909090909090912E-2</v>
      </c>
      <c r="E2148">
        <v>0.90909090909090906</v>
      </c>
      <c r="F2148">
        <v>303.14999999999998</v>
      </c>
      <c r="G2148">
        <v>331</v>
      </c>
      <c r="H2148">
        <f t="shared" si="132"/>
        <v>-2.7211354406508654</v>
      </c>
      <c r="I2148">
        <v>6.5799999999999997E-2</v>
      </c>
      <c r="J2148" t="str">
        <f t="shared" si="133"/>
        <v>C=CC[P+](C1=CC=CC=C1)(C2=CC=CC=C2)C3=CC=CC=C3.[Br-]C(COCCOCCO)O</v>
      </c>
      <c r="K2148">
        <v>8</v>
      </c>
      <c r="M2148">
        <f t="shared" si="134"/>
        <v>-0.72967870461249518</v>
      </c>
      <c r="N2148">
        <f t="shared" si="135"/>
        <v>-0.43623541218867407</v>
      </c>
    </row>
    <row r="2149" spans="1:14" x14ac:dyDescent="0.35">
      <c r="A2149">
        <v>2147</v>
      </c>
      <c r="B2149" t="s">
        <v>3</v>
      </c>
      <c r="C2149" t="s">
        <v>60</v>
      </c>
      <c r="D2149">
        <v>9.0909090909090912E-2</v>
      </c>
      <c r="E2149">
        <v>0.90909090909090906</v>
      </c>
      <c r="F2149">
        <v>303.14999999999998</v>
      </c>
      <c r="G2149">
        <v>491</v>
      </c>
      <c r="H2149">
        <f t="shared" si="132"/>
        <v>-2.2926347621408776</v>
      </c>
      <c r="I2149">
        <v>0.10100000000000001</v>
      </c>
      <c r="J2149" t="str">
        <f t="shared" si="133"/>
        <v>C=CC[P+](C1=CC=CC=C1)(C2=CC=CC=C2)C3=CC=CC=C3.[Br-]C(COCCOCCO)O</v>
      </c>
      <c r="K2149">
        <v>8</v>
      </c>
      <c r="M2149">
        <f t="shared" si="134"/>
        <v>-0.72967870461249518</v>
      </c>
      <c r="N2149">
        <f t="shared" si="135"/>
        <v>-0.34674973367492201</v>
      </c>
    </row>
    <row r="2150" spans="1:14" x14ac:dyDescent="0.35">
      <c r="A2150">
        <v>2148</v>
      </c>
      <c r="B2150" t="s">
        <v>3</v>
      </c>
      <c r="C2150" t="s">
        <v>60</v>
      </c>
      <c r="D2150">
        <v>9.0909090909090912E-2</v>
      </c>
      <c r="E2150">
        <v>0.90909090909090906</v>
      </c>
      <c r="F2150">
        <v>303.14999999999998</v>
      </c>
      <c r="G2150">
        <v>744</v>
      </c>
      <c r="H2150">
        <f t="shared" si="132"/>
        <v>-1.868856519613022</v>
      </c>
      <c r="I2150">
        <v>0.15429999999999999</v>
      </c>
      <c r="J2150" t="str">
        <f t="shared" si="133"/>
        <v>C=CC[P+](C1=CC=CC=C1)(C2=CC=CC=C2)C3=CC=CC=C3.[Br-]C(COCCOCCO)O</v>
      </c>
      <c r="K2150">
        <v>8</v>
      </c>
      <c r="M2150">
        <f t="shared" si="134"/>
        <v>-0.72967870461249518</v>
      </c>
      <c r="N2150">
        <f t="shared" si="135"/>
        <v>-0.20525050452505153</v>
      </c>
    </row>
    <row r="2151" spans="1:14" x14ac:dyDescent="0.35">
      <c r="A2151">
        <v>2149</v>
      </c>
      <c r="B2151" t="s">
        <v>3</v>
      </c>
      <c r="C2151" t="s">
        <v>60</v>
      </c>
      <c r="D2151">
        <v>9.0909090909090912E-2</v>
      </c>
      <c r="E2151">
        <v>0.90909090909090906</v>
      </c>
      <c r="F2151">
        <v>303.14999999999998</v>
      </c>
      <c r="G2151">
        <v>880</v>
      </c>
      <c r="H2151">
        <f t="shared" si="132"/>
        <v>-1.6761120457020933</v>
      </c>
      <c r="I2151">
        <v>0.18709999999999999</v>
      </c>
      <c r="J2151" t="str">
        <f t="shared" si="133"/>
        <v>C=CC[P+](C1=CC=CC=C1)(C2=CC=CC=C2)C3=CC=CC=C3.[Br-]C(COCCOCCO)O</v>
      </c>
      <c r="K2151">
        <v>8</v>
      </c>
      <c r="M2151">
        <f t="shared" si="134"/>
        <v>-0.72967870461249518</v>
      </c>
      <c r="N2151">
        <f t="shared" si="135"/>
        <v>-0.12918767778836227</v>
      </c>
    </row>
    <row r="2152" spans="1:14" x14ac:dyDescent="0.35">
      <c r="A2152">
        <v>2150</v>
      </c>
      <c r="B2152" t="s">
        <v>3</v>
      </c>
      <c r="C2152" t="s">
        <v>60</v>
      </c>
      <c r="D2152">
        <v>9.0909090909090912E-2</v>
      </c>
      <c r="E2152">
        <v>0.90909090909090906</v>
      </c>
      <c r="F2152">
        <v>303.14999999999998</v>
      </c>
      <c r="G2152">
        <v>1080</v>
      </c>
      <c r="H2152">
        <f t="shared" si="132"/>
        <v>-1.4528616053920038</v>
      </c>
      <c r="I2152">
        <v>0.2339</v>
      </c>
      <c r="J2152" t="str">
        <f t="shared" si="133"/>
        <v>C=CC[P+](C1=CC=CC=C1)(C2=CC=CC=C2)C3=CC=CC=C3.[Br-]C(COCCOCCO)O</v>
      </c>
      <c r="K2152">
        <v>8</v>
      </c>
      <c r="M2152">
        <f t="shared" si="134"/>
        <v>-0.72967870461249518</v>
      </c>
      <c r="N2152">
        <f t="shared" si="135"/>
        <v>-1.7330579646172149E-2</v>
      </c>
    </row>
    <row r="2153" spans="1:14" x14ac:dyDescent="0.35">
      <c r="A2153">
        <v>2151</v>
      </c>
      <c r="B2153" t="s">
        <v>3</v>
      </c>
      <c r="C2153" t="s">
        <v>60</v>
      </c>
      <c r="D2153">
        <v>9.0909090909090912E-2</v>
      </c>
      <c r="E2153">
        <v>0.90909090909090906</v>
      </c>
      <c r="F2153">
        <v>303.14999999999998</v>
      </c>
      <c r="G2153">
        <v>1468</v>
      </c>
      <c r="H2153">
        <f t="shared" si="132"/>
        <v>-1.1214715828141923</v>
      </c>
      <c r="I2153">
        <v>0.32579999999999998</v>
      </c>
      <c r="J2153" t="str">
        <f t="shared" si="133"/>
        <v>C=CC[P+](C1=CC=CC=C1)(C2=CC=CC=C2)C3=CC=CC=C3.[Br-]C(COCCOCCO)O</v>
      </c>
      <c r="K2153">
        <v>8</v>
      </c>
      <c r="M2153">
        <f t="shared" si="134"/>
        <v>-0.72967870461249518</v>
      </c>
      <c r="N2153">
        <f t="shared" si="135"/>
        <v>0.19967219074967665</v>
      </c>
    </row>
    <row r="2154" spans="1:14" x14ac:dyDescent="0.35">
      <c r="A2154">
        <v>2152</v>
      </c>
      <c r="B2154" t="s">
        <v>3</v>
      </c>
      <c r="C2154" t="s">
        <v>60</v>
      </c>
      <c r="D2154">
        <v>9.0909090909090912E-2</v>
      </c>
      <c r="E2154">
        <v>0.90909090909090906</v>
      </c>
      <c r="F2154">
        <v>303.14999999999998</v>
      </c>
      <c r="G2154">
        <v>1953</v>
      </c>
      <c r="H2154">
        <f t="shared" si="132"/>
        <v>-0.79872994313501045</v>
      </c>
      <c r="I2154">
        <v>0.44990000000000002</v>
      </c>
      <c r="J2154" t="str">
        <f t="shared" si="133"/>
        <v>C=CC[P+](C1=CC=CC=C1)(C2=CC=CC=C2)C3=CC=CC=C3.[Br-]C(COCCOCCO)O</v>
      </c>
      <c r="K2154">
        <v>8</v>
      </c>
      <c r="M2154">
        <f t="shared" si="134"/>
        <v>-0.72967870461249518</v>
      </c>
      <c r="N2154">
        <f t="shared" si="135"/>
        <v>0.47092565374448764</v>
      </c>
    </row>
    <row r="2155" spans="1:14" x14ac:dyDescent="0.35">
      <c r="A2155">
        <v>2153</v>
      </c>
      <c r="B2155" t="s">
        <v>3</v>
      </c>
      <c r="C2155" t="s">
        <v>45</v>
      </c>
      <c r="D2155">
        <v>5.8823529411764705E-2</v>
      </c>
      <c r="E2155">
        <v>0.94117647058823528</v>
      </c>
      <c r="F2155">
        <v>303.14999999999998</v>
      </c>
      <c r="G2155">
        <v>166</v>
      </c>
      <c r="H2155">
        <f t="shared" si="132"/>
        <v>-3.7422802308410517</v>
      </c>
      <c r="I2155">
        <v>2.3699999999999999E-2</v>
      </c>
      <c r="J2155" t="str">
        <f t="shared" si="133"/>
        <v>C=CC[P+](C1=CC=CC=C1)(C2=CC=CC=C2)C3=CC=CC=C3.[Br-]C(COCCO)O</v>
      </c>
      <c r="K2155">
        <v>7</v>
      </c>
      <c r="M2155">
        <f t="shared" si="134"/>
        <v>-0.72967870461249518</v>
      </c>
      <c r="N2155">
        <f t="shared" si="135"/>
        <v>-0.52851751815598091</v>
      </c>
    </row>
    <row r="2156" spans="1:14" x14ac:dyDescent="0.35">
      <c r="A2156">
        <v>2154</v>
      </c>
      <c r="B2156" t="s">
        <v>3</v>
      </c>
      <c r="C2156" t="s">
        <v>45</v>
      </c>
      <c r="D2156">
        <v>5.8823529411764705E-2</v>
      </c>
      <c r="E2156">
        <v>0.94117647058823528</v>
      </c>
      <c r="F2156">
        <v>303.14999999999998</v>
      </c>
      <c r="G2156">
        <v>325</v>
      </c>
      <c r="H2156">
        <f t="shared" si="132"/>
        <v>-3.0386397745652673</v>
      </c>
      <c r="I2156">
        <v>4.7899999999999998E-2</v>
      </c>
      <c r="J2156" t="str">
        <f t="shared" si="133"/>
        <v>C=CC[P+](C1=CC=CC=C1)(C2=CC=CC=C2)C3=CC=CC=C3.[Br-]C(COCCO)O</v>
      </c>
      <c r="K2156">
        <v>7</v>
      </c>
      <c r="M2156">
        <f t="shared" si="134"/>
        <v>-0.72967870461249518</v>
      </c>
      <c r="N2156">
        <f t="shared" si="135"/>
        <v>-0.4395911251329398</v>
      </c>
    </row>
    <row r="2157" spans="1:14" x14ac:dyDescent="0.35">
      <c r="A2157">
        <v>2155</v>
      </c>
      <c r="B2157" t="s">
        <v>3</v>
      </c>
      <c r="C2157" t="s">
        <v>45</v>
      </c>
      <c r="D2157">
        <v>5.8823529411764705E-2</v>
      </c>
      <c r="E2157">
        <v>0.94117647058823528</v>
      </c>
      <c r="F2157">
        <v>303.14999999999998</v>
      </c>
      <c r="G2157">
        <v>490</v>
      </c>
      <c r="H2157">
        <f t="shared" si="132"/>
        <v>-2.5836226227271579</v>
      </c>
      <c r="I2157">
        <v>7.5499999999999998E-2</v>
      </c>
      <c r="J2157" t="str">
        <f t="shared" si="133"/>
        <v>C=CC[P+](C1=CC=CC=C1)(C2=CC=CC=C2)C3=CC=CC=C3.[Br-]C(COCCO)O</v>
      </c>
      <c r="K2157">
        <v>7</v>
      </c>
      <c r="M2157">
        <f t="shared" si="134"/>
        <v>-0.72967870461249518</v>
      </c>
      <c r="N2157">
        <f t="shared" si="135"/>
        <v>-0.34730901916563295</v>
      </c>
    </row>
    <row r="2158" spans="1:14" x14ac:dyDescent="0.35">
      <c r="A2158">
        <v>2156</v>
      </c>
      <c r="B2158" t="s">
        <v>3</v>
      </c>
      <c r="C2158" t="s">
        <v>45</v>
      </c>
      <c r="D2158">
        <v>5.8823529411764705E-2</v>
      </c>
      <c r="E2158">
        <v>0.94117647058823528</v>
      </c>
      <c r="F2158">
        <v>303.14999999999998</v>
      </c>
      <c r="G2158">
        <v>742</v>
      </c>
      <c r="H2158">
        <f t="shared" si="132"/>
        <v>-2.107841016201534</v>
      </c>
      <c r="I2158">
        <v>0.1215</v>
      </c>
      <c r="J2158" t="str">
        <f t="shared" si="133"/>
        <v>C=CC[P+](C1=CC=CC=C1)(C2=CC=CC=C2)C3=CC=CC=C3.[Br-]C(COCCO)O</v>
      </c>
      <c r="K2158">
        <v>7</v>
      </c>
      <c r="M2158">
        <f t="shared" si="134"/>
        <v>-0.72967870461249518</v>
      </c>
      <c r="N2158">
        <f t="shared" si="135"/>
        <v>-0.20636907550647343</v>
      </c>
    </row>
    <row r="2159" spans="1:14" x14ac:dyDescent="0.35">
      <c r="A2159">
        <v>2157</v>
      </c>
      <c r="B2159" t="s">
        <v>3</v>
      </c>
      <c r="C2159" t="s">
        <v>45</v>
      </c>
      <c r="D2159">
        <v>5.8823529411764705E-2</v>
      </c>
      <c r="E2159">
        <v>0.94117647058823528</v>
      </c>
      <c r="F2159">
        <v>303.14999999999998</v>
      </c>
      <c r="G2159">
        <v>880</v>
      </c>
      <c r="H2159">
        <f t="shared" si="132"/>
        <v>-1.9044803392921736</v>
      </c>
      <c r="I2159">
        <v>0.1489</v>
      </c>
      <c r="J2159" t="str">
        <f t="shared" si="133"/>
        <v>C=CC[P+](C1=CC=CC=C1)(C2=CC=CC=C2)C3=CC=CC=C3.[Br-]C(COCCO)O</v>
      </c>
      <c r="K2159">
        <v>7</v>
      </c>
      <c r="M2159">
        <f t="shared" si="134"/>
        <v>-0.72967870461249518</v>
      </c>
      <c r="N2159">
        <f t="shared" si="135"/>
        <v>-0.12918767778836227</v>
      </c>
    </row>
    <row r="2160" spans="1:14" x14ac:dyDescent="0.35">
      <c r="A2160">
        <v>2158</v>
      </c>
      <c r="B2160" t="s">
        <v>3</v>
      </c>
      <c r="C2160" t="s">
        <v>45</v>
      </c>
      <c r="D2160">
        <v>5.8823529411764705E-2</v>
      </c>
      <c r="E2160">
        <v>0.94117647058823528</v>
      </c>
      <c r="F2160">
        <v>303.14999999999998</v>
      </c>
      <c r="G2160">
        <v>1105</v>
      </c>
      <c r="H2160">
        <f t="shared" si="132"/>
        <v>-1.6337306050031448</v>
      </c>
      <c r="I2160">
        <v>0.19520000000000001</v>
      </c>
      <c r="J2160" t="str">
        <f t="shared" si="133"/>
        <v>C=CC[P+](C1=CC=CC=C1)(C2=CC=CC=C2)C3=CC=CC=C3.[Br-]C(COCCO)O</v>
      </c>
      <c r="K2160">
        <v>7</v>
      </c>
      <c r="M2160">
        <f t="shared" si="134"/>
        <v>-0.72967870461249518</v>
      </c>
      <c r="N2160">
        <f t="shared" si="135"/>
        <v>-3.3484423783983856E-3</v>
      </c>
    </row>
    <row r="2161" spans="1:14" x14ac:dyDescent="0.35">
      <c r="A2161">
        <v>2159</v>
      </c>
      <c r="B2161" t="s">
        <v>3</v>
      </c>
      <c r="C2161" t="s">
        <v>45</v>
      </c>
      <c r="D2161">
        <v>5.8823529411764705E-2</v>
      </c>
      <c r="E2161">
        <v>0.94117647058823528</v>
      </c>
      <c r="F2161">
        <v>303.14999999999998</v>
      </c>
      <c r="G2161">
        <v>1471</v>
      </c>
      <c r="H2161">
        <f t="shared" si="132"/>
        <v>-1.2906206110516081</v>
      </c>
      <c r="I2161">
        <v>0.27510000000000001</v>
      </c>
      <c r="J2161" t="str">
        <f t="shared" si="133"/>
        <v>C=CC[P+](C1=CC=CC=C1)(C2=CC=CC=C2)C3=CC=CC=C3.[Br-]C(COCCO)O</v>
      </c>
      <c r="K2161">
        <v>7</v>
      </c>
      <c r="M2161">
        <f t="shared" si="134"/>
        <v>-0.72967870461249518</v>
      </c>
      <c r="N2161">
        <f t="shared" si="135"/>
        <v>0.20135004722180952</v>
      </c>
    </row>
    <row r="2162" spans="1:14" x14ac:dyDescent="0.35">
      <c r="A2162">
        <v>2160</v>
      </c>
      <c r="B2162" t="s">
        <v>3</v>
      </c>
      <c r="C2162" t="s">
        <v>45</v>
      </c>
      <c r="D2162">
        <v>5.8823529411764705E-2</v>
      </c>
      <c r="E2162">
        <v>0.94117647058823528</v>
      </c>
      <c r="F2162">
        <v>303.14999999999998</v>
      </c>
      <c r="G2162">
        <v>1954.0019625</v>
      </c>
      <c r="H2162">
        <f t="shared" si="132"/>
        <v>-0.94007126053955847</v>
      </c>
      <c r="I2162">
        <v>0.3906</v>
      </c>
      <c r="J2162" t="str">
        <f t="shared" si="133"/>
        <v>C=CC[P+](C1=CC=CC=C1)(C2=CC=CC=C2)C3=CC=CC=C3.[Br-]C(COCCO)O</v>
      </c>
      <c r="K2162">
        <v>7</v>
      </c>
      <c r="M2162">
        <f t="shared" si="134"/>
        <v>-0.72967870461249518</v>
      </c>
      <c r="N2162">
        <f t="shared" si="135"/>
        <v>0.47148603683297413</v>
      </c>
    </row>
    <row r="2163" spans="1:14" x14ac:dyDescent="0.35">
      <c r="A2163">
        <v>2161</v>
      </c>
      <c r="B2163" t="s">
        <v>3</v>
      </c>
      <c r="C2163" t="s">
        <v>60</v>
      </c>
      <c r="D2163">
        <v>5.8823529411764705E-2</v>
      </c>
      <c r="E2163">
        <v>0.94117647058823528</v>
      </c>
      <c r="F2163">
        <v>303.14999999999998</v>
      </c>
      <c r="G2163">
        <v>146</v>
      </c>
      <c r="H2163">
        <f t="shared" si="132"/>
        <v>-3.7722610630529876</v>
      </c>
      <c r="I2163">
        <v>2.3E-2</v>
      </c>
      <c r="J2163" t="str">
        <f t="shared" si="133"/>
        <v>C=CC[P+](C1=CC=CC=C1)(C2=CC=CC=C2)C3=CC=CC=C3.[Br-]C(COCCOCCO)O</v>
      </c>
      <c r="K2163">
        <v>8</v>
      </c>
      <c r="M2163">
        <f t="shared" si="134"/>
        <v>-0.72967870461249518</v>
      </c>
      <c r="N2163">
        <f t="shared" si="135"/>
        <v>-0.53970322797019998</v>
      </c>
    </row>
    <row r="2164" spans="1:14" x14ac:dyDescent="0.35">
      <c r="A2164">
        <v>2162</v>
      </c>
      <c r="B2164" t="s">
        <v>3</v>
      </c>
      <c r="C2164" t="s">
        <v>60</v>
      </c>
      <c r="D2164">
        <v>5.8823529411764705E-2</v>
      </c>
      <c r="E2164">
        <v>0.94117647058823528</v>
      </c>
      <c r="F2164">
        <v>303.14999999999998</v>
      </c>
      <c r="G2164">
        <v>323</v>
      </c>
      <c r="H2164">
        <f t="shared" si="132"/>
        <v>-2.97</v>
      </c>
      <c r="I2164">
        <v>5.1303310331919108E-2</v>
      </c>
      <c r="J2164" t="str">
        <f t="shared" si="133"/>
        <v>C=CC[P+](C1=CC=CC=C1)(C2=CC=CC=C2)C3=CC=CC=C3.[Br-]C(COCCOCCO)O</v>
      </c>
      <c r="K2164">
        <v>8</v>
      </c>
      <c r="M2164">
        <f t="shared" si="134"/>
        <v>-0.72967870461249518</v>
      </c>
      <c r="N2164">
        <f t="shared" si="135"/>
        <v>-0.44070969611436167</v>
      </c>
    </row>
    <row r="2165" spans="1:14" x14ac:dyDescent="0.35">
      <c r="A2165">
        <v>2163</v>
      </c>
      <c r="B2165" t="s">
        <v>3</v>
      </c>
      <c r="C2165" t="s">
        <v>60</v>
      </c>
      <c r="D2165">
        <v>5.8823529411764705E-2</v>
      </c>
      <c r="E2165">
        <v>0.94117647058823528</v>
      </c>
      <c r="F2165">
        <v>303.14999999999998</v>
      </c>
      <c r="G2165">
        <v>492</v>
      </c>
      <c r="H2165">
        <f t="shared" si="132"/>
        <v>-2.4937455984552046</v>
      </c>
      <c r="I2165">
        <v>8.2600000000000007E-2</v>
      </c>
      <c r="J2165" t="str">
        <f t="shared" si="133"/>
        <v>C=CC[P+](C1=CC=CC=C1)(C2=CC=CC=C2)C3=CC=CC=C3.[Br-]C(COCCOCCO)O</v>
      </c>
      <c r="K2165">
        <v>8</v>
      </c>
      <c r="M2165">
        <f t="shared" si="134"/>
        <v>-0.72967870461249518</v>
      </c>
      <c r="N2165">
        <f t="shared" si="135"/>
        <v>-0.34619044818421107</v>
      </c>
    </row>
    <row r="2166" spans="1:14" x14ac:dyDescent="0.35">
      <c r="A2166">
        <v>2164</v>
      </c>
      <c r="B2166" t="s">
        <v>3</v>
      </c>
      <c r="C2166" t="s">
        <v>60</v>
      </c>
      <c r="D2166">
        <v>5.8823529411764705E-2</v>
      </c>
      <c r="E2166">
        <v>0.94117647058823528</v>
      </c>
      <c r="F2166">
        <v>303.14999999999998</v>
      </c>
      <c r="G2166">
        <v>744</v>
      </c>
      <c r="H2166">
        <f t="shared" si="132"/>
        <v>-2.0333216060662829</v>
      </c>
      <c r="I2166">
        <v>0.13089999999999999</v>
      </c>
      <c r="J2166" t="str">
        <f t="shared" si="133"/>
        <v>C=CC[P+](C1=CC=CC=C1)(C2=CC=CC=C2)C3=CC=CC=C3.[Br-]C(COCCOCCO)O</v>
      </c>
      <c r="K2166">
        <v>8</v>
      </c>
      <c r="M2166">
        <f t="shared" si="134"/>
        <v>-0.72967870461249518</v>
      </c>
      <c r="N2166">
        <f t="shared" si="135"/>
        <v>-0.20525050452505153</v>
      </c>
    </row>
    <row r="2167" spans="1:14" x14ac:dyDescent="0.35">
      <c r="A2167">
        <v>2165</v>
      </c>
      <c r="B2167" t="s">
        <v>3</v>
      </c>
      <c r="C2167" t="s">
        <v>60</v>
      </c>
      <c r="D2167">
        <v>5.8823529411764705E-2</v>
      </c>
      <c r="E2167">
        <v>0.94117647058823528</v>
      </c>
      <c r="F2167">
        <v>303.14999999999998</v>
      </c>
      <c r="G2167">
        <v>887</v>
      </c>
      <c r="H2167">
        <f t="shared" si="132"/>
        <v>-1.8244892938509738</v>
      </c>
      <c r="I2167">
        <v>0.1613</v>
      </c>
      <c r="J2167" t="str">
        <f t="shared" si="133"/>
        <v>C=CC[P+](C1=CC=CC=C1)(C2=CC=CC=C2)C3=CC=CC=C3.[Br-]C(COCCOCCO)O</v>
      </c>
      <c r="K2167">
        <v>8</v>
      </c>
      <c r="M2167">
        <f t="shared" si="134"/>
        <v>-0.72967870461249518</v>
      </c>
      <c r="N2167">
        <f t="shared" si="135"/>
        <v>-0.1252726793533856</v>
      </c>
    </row>
    <row r="2168" spans="1:14" x14ac:dyDescent="0.35">
      <c r="A2168">
        <v>2166</v>
      </c>
      <c r="B2168" t="s">
        <v>3</v>
      </c>
      <c r="C2168" t="s">
        <v>60</v>
      </c>
      <c r="D2168">
        <v>5.8823529411764705E-2</v>
      </c>
      <c r="E2168">
        <v>0.94117647058823528</v>
      </c>
      <c r="F2168">
        <v>303.14999999999998</v>
      </c>
      <c r="G2168">
        <v>1070</v>
      </c>
      <c r="H2168">
        <f t="shared" si="132"/>
        <v>-1.5823092450458478</v>
      </c>
      <c r="I2168">
        <v>0.20549999999999999</v>
      </c>
      <c r="J2168" t="str">
        <f t="shared" si="133"/>
        <v>C=CC[P+](C1=CC=CC=C1)(C2=CC=CC=C2)C3=CC=CC=C3.[Br-]C(COCCOCCO)O</v>
      </c>
      <c r="K2168">
        <v>8</v>
      </c>
      <c r="M2168">
        <f t="shared" si="134"/>
        <v>-0.72967870461249518</v>
      </c>
      <c r="N2168">
        <f t="shared" si="135"/>
        <v>-2.2923434553281653E-2</v>
      </c>
    </row>
    <row r="2169" spans="1:14" x14ac:dyDescent="0.35">
      <c r="A2169">
        <v>2167</v>
      </c>
      <c r="B2169" t="s">
        <v>3</v>
      </c>
      <c r="C2169" t="s">
        <v>60</v>
      </c>
      <c r="D2169">
        <v>5.8823529411764705E-2</v>
      </c>
      <c r="E2169">
        <v>0.94117647058823528</v>
      </c>
      <c r="F2169">
        <v>303.14999999999998</v>
      </c>
      <c r="G2169">
        <v>1471</v>
      </c>
      <c r="H2169">
        <f t="shared" si="132"/>
        <v>-1.2531630485167076</v>
      </c>
      <c r="I2169">
        <v>0.28560000000000002</v>
      </c>
      <c r="J2169" t="str">
        <f t="shared" si="133"/>
        <v>C=CC[P+](C1=CC=CC=C1)(C2=CC=CC=C2)C3=CC=CC=C3.[Br-]C(COCCOCCO)O</v>
      </c>
      <c r="K2169">
        <v>8</v>
      </c>
      <c r="M2169">
        <f t="shared" si="134"/>
        <v>-0.72967870461249518</v>
      </c>
      <c r="N2169">
        <f t="shared" si="135"/>
        <v>0.20135004722180952</v>
      </c>
    </row>
    <row r="2170" spans="1:14" x14ac:dyDescent="0.35">
      <c r="A2170">
        <v>2168</v>
      </c>
      <c r="B2170" t="s">
        <v>3</v>
      </c>
      <c r="C2170" t="s">
        <v>60</v>
      </c>
      <c r="D2170">
        <v>5.8823529411764705E-2</v>
      </c>
      <c r="E2170">
        <v>0.94117647058823528</v>
      </c>
      <c r="F2170">
        <v>303.14999999999998</v>
      </c>
      <c r="G2170">
        <v>1957</v>
      </c>
      <c r="H2170">
        <f t="shared" si="132"/>
        <v>-0.88503434222360089</v>
      </c>
      <c r="I2170">
        <v>0.41270000000000001</v>
      </c>
      <c r="J2170" t="str">
        <f t="shared" si="133"/>
        <v>C=CC[P+](C1=CC=CC=C1)(C2=CC=CC=C2)C3=CC=CC=C3.[Br-]C(COCCOCCO)O</v>
      </c>
      <c r="K2170">
        <v>8</v>
      </c>
      <c r="M2170">
        <f t="shared" si="134"/>
        <v>-0.72967870461249518</v>
      </c>
      <c r="N2170">
        <f t="shared" si="135"/>
        <v>0.47316279570733144</v>
      </c>
    </row>
    <row r="2171" spans="1:14" x14ac:dyDescent="0.35">
      <c r="A2171">
        <v>2169</v>
      </c>
      <c r="B2171" t="s">
        <v>7</v>
      </c>
      <c r="C2171" t="s">
        <v>48</v>
      </c>
      <c r="D2171">
        <v>0.33333333333333331</v>
      </c>
      <c r="E2171">
        <v>0.66666666666666674</v>
      </c>
      <c r="F2171">
        <v>298.14999999999998</v>
      </c>
      <c r="G2171">
        <v>119.8</v>
      </c>
      <c r="H2171">
        <f t="shared" si="132"/>
        <v>-4.7217040022440431</v>
      </c>
      <c r="I2171">
        <v>8.8999999999999999E-3</v>
      </c>
      <c r="J2171" t="str">
        <f t="shared" si="133"/>
        <v>C[N+](C)(C)CCO.[Cl-]C(CO)C#N</v>
      </c>
      <c r="K2171">
        <v>78</v>
      </c>
      <c r="M2171">
        <f t="shared" si="134"/>
        <v>-1.1215370428862177</v>
      </c>
      <c r="N2171">
        <f t="shared" si="135"/>
        <v>-0.55435650782682688</v>
      </c>
    </row>
    <row r="2172" spans="1:14" x14ac:dyDescent="0.35">
      <c r="A2172">
        <v>2170</v>
      </c>
      <c r="B2172" t="s">
        <v>7</v>
      </c>
      <c r="C2172" t="s">
        <v>48</v>
      </c>
      <c r="D2172">
        <v>0.33333333333333331</v>
      </c>
      <c r="E2172">
        <v>0.66666666666666674</v>
      </c>
      <c r="F2172">
        <v>298.14999999999998</v>
      </c>
      <c r="G2172">
        <v>448.7</v>
      </c>
      <c r="H2172">
        <f t="shared" si="132"/>
        <v>-3.3186961601504117</v>
      </c>
      <c r="I2172">
        <v>3.6200000000000003E-2</v>
      </c>
      <c r="J2172" t="str">
        <f t="shared" si="133"/>
        <v>C[N+](C)(C)CCO.[Cl-]C(CO)C#N</v>
      </c>
      <c r="K2172">
        <v>78</v>
      </c>
      <c r="M2172">
        <f t="shared" si="134"/>
        <v>-1.1215370428862177</v>
      </c>
      <c r="N2172">
        <f t="shared" si="135"/>
        <v>-0.37040750993199517</v>
      </c>
    </row>
    <row r="2173" spans="1:14" x14ac:dyDescent="0.35">
      <c r="A2173">
        <v>2171</v>
      </c>
      <c r="B2173" t="s">
        <v>7</v>
      </c>
      <c r="C2173" t="s">
        <v>48</v>
      </c>
      <c r="D2173">
        <v>0.33333333333333331</v>
      </c>
      <c r="E2173">
        <v>0.66666666666666674</v>
      </c>
      <c r="F2173">
        <v>298.14999999999998</v>
      </c>
      <c r="G2173">
        <v>809.6</v>
      </c>
      <c r="H2173">
        <f t="shared" si="132"/>
        <v>-2.7364496756239083</v>
      </c>
      <c r="I2173">
        <v>6.4799999999999996E-2</v>
      </c>
      <c r="J2173" t="str">
        <f t="shared" si="133"/>
        <v>C[N+](C)(C)CCO.[Cl-]C(CO)C#N</v>
      </c>
      <c r="K2173">
        <v>78</v>
      </c>
      <c r="M2173">
        <f t="shared" si="134"/>
        <v>-1.1215370428862177</v>
      </c>
      <c r="N2173">
        <f t="shared" si="135"/>
        <v>-0.16856137633441315</v>
      </c>
    </row>
    <row r="2174" spans="1:14" x14ac:dyDescent="0.35">
      <c r="A2174">
        <v>2172</v>
      </c>
      <c r="B2174" t="s">
        <v>7</v>
      </c>
      <c r="C2174" t="s">
        <v>48</v>
      </c>
      <c r="D2174">
        <v>0.33333333333333331</v>
      </c>
      <c r="E2174">
        <v>0.66666666666666674</v>
      </c>
      <c r="F2174">
        <v>298.14999999999998</v>
      </c>
      <c r="G2174">
        <v>1121.2</v>
      </c>
      <c r="H2174">
        <f t="shared" si="132"/>
        <v>-2.4202431364622781</v>
      </c>
      <c r="I2174">
        <v>8.8900000000000007E-2</v>
      </c>
      <c r="J2174" t="str">
        <f t="shared" si="133"/>
        <v>C[N+](C)(C)CCO.[Cl-]C(CO)C#N</v>
      </c>
      <c r="K2174">
        <v>78</v>
      </c>
      <c r="M2174">
        <f t="shared" si="134"/>
        <v>-1.1215370428862177</v>
      </c>
      <c r="N2174">
        <f t="shared" si="135"/>
        <v>5.7119825711190383E-3</v>
      </c>
    </row>
    <row r="2175" spans="1:14" x14ac:dyDescent="0.35">
      <c r="A2175">
        <v>2173</v>
      </c>
      <c r="B2175" t="s">
        <v>7</v>
      </c>
      <c r="C2175" t="s">
        <v>48</v>
      </c>
      <c r="D2175">
        <v>0.33333333333333331</v>
      </c>
      <c r="E2175">
        <v>0.66666666666666674</v>
      </c>
      <c r="F2175">
        <v>298.14999999999998</v>
      </c>
      <c r="G2175">
        <v>1412.2</v>
      </c>
      <c r="H2175">
        <f t="shared" si="132"/>
        <v>-2.1447270083784655</v>
      </c>
      <c r="I2175">
        <v>0.1171</v>
      </c>
      <c r="J2175" t="str">
        <f t="shared" si="133"/>
        <v>C[N+](C)(C)CCO.[Cl-]C(CO)C#N</v>
      </c>
      <c r="K2175">
        <v>78</v>
      </c>
      <c r="M2175">
        <f t="shared" si="134"/>
        <v>-1.1215370428862177</v>
      </c>
      <c r="N2175">
        <f t="shared" si="135"/>
        <v>0.16846406036800565</v>
      </c>
    </row>
    <row r="2176" spans="1:14" x14ac:dyDescent="0.35">
      <c r="A2176">
        <v>2174</v>
      </c>
      <c r="B2176" t="s">
        <v>7</v>
      </c>
      <c r="C2176" t="s">
        <v>48</v>
      </c>
      <c r="D2176">
        <v>0.33333333333333331</v>
      </c>
      <c r="E2176">
        <v>0.66666666666666674</v>
      </c>
      <c r="F2176">
        <v>328.15</v>
      </c>
      <c r="G2176">
        <v>127.7</v>
      </c>
      <c r="H2176">
        <f t="shared" si="132"/>
        <v>-5.083205986931091</v>
      </c>
      <c r="I2176">
        <v>6.1999999999999998E-3</v>
      </c>
      <c r="J2176" t="str">
        <f t="shared" si="133"/>
        <v>C[N+](C)(C)CCO.[Cl-]C(CO)C#N</v>
      </c>
      <c r="K2176">
        <v>78</v>
      </c>
      <c r="M2176">
        <f t="shared" si="134"/>
        <v>1.2296129867561181</v>
      </c>
      <c r="N2176">
        <f t="shared" si="135"/>
        <v>-0.54993815245021027</v>
      </c>
    </row>
    <row r="2177" spans="1:14" x14ac:dyDescent="0.35">
      <c r="A2177">
        <v>2175</v>
      </c>
      <c r="B2177" t="s">
        <v>7</v>
      </c>
      <c r="C2177" t="s">
        <v>48</v>
      </c>
      <c r="D2177">
        <v>0.33333333333333331</v>
      </c>
      <c r="E2177">
        <v>0.66666666666666674</v>
      </c>
      <c r="F2177">
        <v>328.15</v>
      </c>
      <c r="G2177">
        <v>412.3</v>
      </c>
      <c r="H2177">
        <f t="shared" si="132"/>
        <v>-3.7809947430217421</v>
      </c>
      <c r="I2177">
        <v>2.2800000000000001E-2</v>
      </c>
      <c r="J2177" t="str">
        <f t="shared" si="133"/>
        <v>C[N+](C)(C)CCO.[Cl-]C(CO)C#N</v>
      </c>
      <c r="K2177">
        <v>78</v>
      </c>
      <c r="M2177">
        <f t="shared" si="134"/>
        <v>1.2296129867561181</v>
      </c>
      <c r="N2177">
        <f t="shared" si="135"/>
        <v>-0.39076550179387382</v>
      </c>
    </row>
    <row r="2178" spans="1:14" x14ac:dyDescent="0.35">
      <c r="A2178">
        <v>2176</v>
      </c>
      <c r="B2178" t="s">
        <v>7</v>
      </c>
      <c r="C2178" t="s">
        <v>48</v>
      </c>
      <c r="D2178">
        <v>0.33333333333333331</v>
      </c>
      <c r="E2178">
        <v>0.66666666666666674</v>
      </c>
      <c r="F2178">
        <v>328.15</v>
      </c>
      <c r="G2178">
        <v>739</v>
      </c>
      <c r="H2178">
        <f t="shared" si="132"/>
        <v>-3.196625215933381</v>
      </c>
      <c r="I2178">
        <v>4.0899999999999999E-2</v>
      </c>
      <c r="J2178" t="str">
        <f t="shared" si="133"/>
        <v>C[N+](C)(C)CCO.[Cl-]C(CO)C#N</v>
      </c>
      <c r="K2178">
        <v>78</v>
      </c>
      <c r="M2178">
        <f t="shared" si="134"/>
        <v>1.2296129867561181</v>
      </c>
      <c r="N2178">
        <f t="shared" si="135"/>
        <v>-0.20804693197860627</v>
      </c>
    </row>
    <row r="2179" spans="1:14" x14ac:dyDescent="0.35">
      <c r="A2179">
        <v>2177</v>
      </c>
      <c r="B2179" t="s">
        <v>7</v>
      </c>
      <c r="C2179" t="s">
        <v>48</v>
      </c>
      <c r="D2179">
        <v>0.33333333333333331</v>
      </c>
      <c r="E2179">
        <v>0.66666666666666674</v>
      </c>
      <c r="F2179">
        <v>328.15</v>
      </c>
      <c r="G2179">
        <v>941</v>
      </c>
      <c r="H2179">
        <f t="shared" ref="H2179:H2242" si="136">LN(I2179)</f>
        <v>-2.9739707817724783</v>
      </c>
      <c r="I2179">
        <v>5.11E-2</v>
      </c>
      <c r="J2179" t="str">
        <f t="shared" ref="J2179:J2242" si="137">_xlfn.CONCAT(B2179,C2179)</f>
        <v>C[N+](C)(C)CCO.[Cl-]C(CO)C#N</v>
      </c>
      <c r="K2179">
        <v>78</v>
      </c>
      <c r="M2179">
        <f t="shared" ref="M2179:M2242" si="138">(F2179-$L$3)/$L$2</f>
        <v>1.2296129867561181</v>
      </c>
      <c r="N2179">
        <f t="shared" ref="N2179:N2242" si="139">(G2179-$L$6)/$L$5</f>
        <v>-9.5071262854994273E-2</v>
      </c>
    </row>
    <row r="2180" spans="1:14" x14ac:dyDescent="0.35">
      <c r="A2180">
        <v>2178</v>
      </c>
      <c r="B2180" t="s">
        <v>7</v>
      </c>
      <c r="C2180" t="s">
        <v>48</v>
      </c>
      <c r="D2180">
        <v>0.33333333333333331</v>
      </c>
      <c r="E2180">
        <v>0.66666666666666674</v>
      </c>
      <c r="F2180">
        <v>328.15</v>
      </c>
      <c r="G2180">
        <v>1143.5999999999999</v>
      </c>
      <c r="H2180">
        <f t="shared" si="136"/>
        <v>-2.695627681103653</v>
      </c>
      <c r="I2180">
        <v>6.7500000000000004E-2</v>
      </c>
      <c r="J2180" t="str">
        <f t="shared" si="137"/>
        <v>C[N+](C)(C)CCO.[Cl-]C(CO)C#N</v>
      </c>
      <c r="K2180">
        <v>78</v>
      </c>
      <c r="M2180">
        <f t="shared" si="138"/>
        <v>1.2296129867561181</v>
      </c>
      <c r="N2180">
        <f t="shared" si="139"/>
        <v>1.8239977563044255E-2</v>
      </c>
    </row>
    <row r="2181" spans="1:14" x14ac:dyDescent="0.35">
      <c r="A2181">
        <v>2179</v>
      </c>
      <c r="B2181" t="s">
        <v>7</v>
      </c>
      <c r="C2181" t="s">
        <v>48</v>
      </c>
      <c r="D2181">
        <v>0.33333333333333331</v>
      </c>
      <c r="E2181">
        <v>0.66666666666666674</v>
      </c>
      <c r="F2181">
        <v>328.15</v>
      </c>
      <c r="G2181">
        <v>1414.8</v>
      </c>
      <c r="H2181">
        <f t="shared" si="136"/>
        <v>-2.4913272175909231</v>
      </c>
      <c r="I2181">
        <v>8.2799999999999999E-2</v>
      </c>
      <c r="J2181" t="str">
        <f t="shared" si="137"/>
        <v>C[N+](C)(C)CCO.[Cl-]C(CO)C#N</v>
      </c>
      <c r="K2181">
        <v>78</v>
      </c>
      <c r="M2181">
        <f t="shared" si="138"/>
        <v>1.2296129867561181</v>
      </c>
      <c r="N2181">
        <f t="shared" si="139"/>
        <v>0.16991820264385407</v>
      </c>
    </row>
    <row r="2182" spans="1:14" x14ac:dyDescent="0.35">
      <c r="A2182">
        <v>2180</v>
      </c>
      <c r="B2182" t="s">
        <v>7</v>
      </c>
      <c r="C2182" t="s">
        <v>48</v>
      </c>
      <c r="D2182">
        <v>0.25</v>
      </c>
      <c r="E2182">
        <v>0.75</v>
      </c>
      <c r="F2182">
        <v>298.14999999999998</v>
      </c>
      <c r="G2182">
        <v>118.8</v>
      </c>
      <c r="H2182">
        <f t="shared" si="136"/>
        <v>-4.767689115485866</v>
      </c>
      <c r="I2182">
        <v>8.5000000000000006E-3</v>
      </c>
      <c r="J2182" t="str">
        <f t="shared" si="137"/>
        <v>C[N+](C)(C)CCO.[Cl-]C(CO)C#N</v>
      </c>
      <c r="K2182">
        <v>78</v>
      </c>
      <c r="M2182">
        <f t="shared" si="138"/>
        <v>-1.1215370428862177</v>
      </c>
      <c r="N2182">
        <f t="shared" si="139"/>
        <v>-0.55491579331753782</v>
      </c>
    </row>
    <row r="2183" spans="1:14" x14ac:dyDescent="0.35">
      <c r="A2183">
        <v>2181</v>
      </c>
      <c r="B2183" t="s">
        <v>7</v>
      </c>
      <c r="C2183" t="s">
        <v>48</v>
      </c>
      <c r="D2183">
        <v>0.25</v>
      </c>
      <c r="E2183">
        <v>0.75</v>
      </c>
      <c r="F2183">
        <v>298.14999999999998</v>
      </c>
      <c r="G2183">
        <v>409.6</v>
      </c>
      <c r="H2183">
        <f t="shared" si="136"/>
        <v>-3.5166082331734829</v>
      </c>
      <c r="I2183">
        <v>2.9700000000000001E-2</v>
      </c>
      <c r="J2183" t="str">
        <f t="shared" si="137"/>
        <v>C[N+](C)(C)CCO.[Cl-]C(CO)C#N</v>
      </c>
      <c r="K2183">
        <v>78</v>
      </c>
      <c r="M2183">
        <f t="shared" si="138"/>
        <v>-1.1215370428862177</v>
      </c>
      <c r="N2183">
        <f t="shared" si="139"/>
        <v>-0.39227557261879337</v>
      </c>
    </row>
    <row r="2184" spans="1:14" x14ac:dyDescent="0.35">
      <c r="A2184">
        <v>2182</v>
      </c>
      <c r="B2184" t="s">
        <v>7</v>
      </c>
      <c r="C2184" t="s">
        <v>48</v>
      </c>
      <c r="D2184">
        <v>0.25</v>
      </c>
      <c r="E2184">
        <v>0.75</v>
      </c>
      <c r="F2184">
        <v>298.14999999999998</v>
      </c>
      <c r="G2184">
        <v>801.3</v>
      </c>
      <c r="H2184">
        <f t="shared" si="136"/>
        <v>-2.861201380596385</v>
      </c>
      <c r="I2184">
        <v>5.7200000000000001E-2</v>
      </c>
      <c r="J2184" t="str">
        <f t="shared" si="137"/>
        <v>C[N+](C)(C)CCO.[Cl-]C(CO)C#N</v>
      </c>
      <c r="K2184">
        <v>78</v>
      </c>
      <c r="M2184">
        <f t="shared" si="138"/>
        <v>-1.1215370428862177</v>
      </c>
      <c r="N2184">
        <f t="shared" si="139"/>
        <v>-0.1732034459073141</v>
      </c>
    </row>
    <row r="2185" spans="1:14" x14ac:dyDescent="0.35">
      <c r="A2185">
        <v>2183</v>
      </c>
      <c r="B2185" t="s">
        <v>7</v>
      </c>
      <c r="C2185" t="s">
        <v>48</v>
      </c>
      <c r="D2185">
        <v>0.25</v>
      </c>
      <c r="E2185">
        <v>0.75</v>
      </c>
      <c r="F2185">
        <v>298.14999999999998</v>
      </c>
      <c r="G2185">
        <v>1139.4000000000001</v>
      </c>
      <c r="H2185">
        <f t="shared" si="136"/>
        <v>-2.5133061243096981</v>
      </c>
      <c r="I2185">
        <v>8.1000000000000003E-2</v>
      </c>
      <c r="J2185" t="str">
        <f t="shared" si="137"/>
        <v>C[N+](C)(C)CCO.[Cl-]C(CO)C#N</v>
      </c>
      <c r="K2185">
        <v>78</v>
      </c>
      <c r="M2185">
        <f t="shared" si="138"/>
        <v>-1.1215370428862177</v>
      </c>
      <c r="N2185">
        <f t="shared" si="139"/>
        <v>1.5890978502058364E-2</v>
      </c>
    </row>
    <row r="2186" spans="1:14" x14ac:dyDescent="0.35">
      <c r="A2186">
        <v>2184</v>
      </c>
      <c r="B2186" t="s">
        <v>7</v>
      </c>
      <c r="C2186" t="s">
        <v>48</v>
      </c>
      <c r="D2186">
        <v>0.25</v>
      </c>
      <c r="E2186">
        <v>0.75</v>
      </c>
      <c r="F2186">
        <v>298.14999999999998</v>
      </c>
      <c r="G2186">
        <v>1412.9</v>
      </c>
      <c r="H2186">
        <f t="shared" si="136"/>
        <v>-2.2827824656978661</v>
      </c>
      <c r="I2186">
        <v>0.10199999999999999</v>
      </c>
      <c r="J2186" t="str">
        <f t="shared" si="137"/>
        <v>C[N+](C)(C)CCO.[Cl-]C(CO)C#N</v>
      </c>
      <c r="K2186">
        <v>78</v>
      </c>
      <c r="M2186">
        <f t="shared" si="138"/>
        <v>-1.1215370428862177</v>
      </c>
      <c r="N2186">
        <f t="shared" si="139"/>
        <v>0.16885556021150333</v>
      </c>
    </row>
    <row r="2187" spans="1:14" x14ac:dyDescent="0.35">
      <c r="A2187">
        <v>2185</v>
      </c>
      <c r="B2187" t="s">
        <v>7</v>
      </c>
      <c r="C2187" t="s">
        <v>48</v>
      </c>
      <c r="D2187">
        <v>0.25</v>
      </c>
      <c r="E2187">
        <v>0.75</v>
      </c>
      <c r="F2187">
        <v>328.15</v>
      </c>
      <c r="G2187">
        <v>114.2</v>
      </c>
      <c r="H2187">
        <f t="shared" si="136"/>
        <v>-5.5994224593319579</v>
      </c>
      <c r="I2187">
        <v>3.7000000000000002E-3</v>
      </c>
      <c r="J2187" t="str">
        <f t="shared" si="137"/>
        <v>C[N+](C)(C)CCO.[Cl-]C(CO)C#N</v>
      </c>
      <c r="K2187">
        <v>78</v>
      </c>
      <c r="M2187">
        <f t="shared" si="138"/>
        <v>1.2296129867561181</v>
      </c>
      <c r="N2187">
        <f t="shared" si="139"/>
        <v>-0.55748850657480808</v>
      </c>
    </row>
    <row r="2188" spans="1:14" x14ac:dyDescent="0.35">
      <c r="A2188">
        <v>2186</v>
      </c>
      <c r="B2188" t="s">
        <v>7</v>
      </c>
      <c r="C2188" t="s">
        <v>48</v>
      </c>
      <c r="D2188">
        <v>0.25</v>
      </c>
      <c r="E2188">
        <v>0.75</v>
      </c>
      <c r="F2188">
        <v>328.15</v>
      </c>
      <c r="G2188">
        <v>424</v>
      </c>
      <c r="H2188">
        <f t="shared" si="136"/>
        <v>-4.0063336848993876</v>
      </c>
      <c r="I2188">
        <v>1.8200000000000001E-2</v>
      </c>
      <c r="J2188" t="str">
        <f t="shared" si="137"/>
        <v>C[N+](C)(C)CCO.[Cl-]C(CO)C#N</v>
      </c>
      <c r="K2188">
        <v>78</v>
      </c>
      <c r="M2188">
        <f t="shared" si="138"/>
        <v>1.2296129867561181</v>
      </c>
      <c r="N2188">
        <f t="shared" si="139"/>
        <v>-0.38422186155255567</v>
      </c>
    </row>
    <row r="2189" spans="1:14" x14ac:dyDescent="0.35">
      <c r="A2189">
        <v>2187</v>
      </c>
      <c r="B2189" t="s">
        <v>7</v>
      </c>
      <c r="C2189" t="s">
        <v>48</v>
      </c>
      <c r="D2189">
        <v>0.25</v>
      </c>
      <c r="E2189">
        <v>0.75</v>
      </c>
      <c r="F2189">
        <v>328.15</v>
      </c>
      <c r="G2189">
        <v>820.8</v>
      </c>
      <c r="H2189">
        <f t="shared" si="136"/>
        <v>-3.3077070385748164</v>
      </c>
      <c r="I2189">
        <v>3.6600000000000001E-2</v>
      </c>
      <c r="J2189" t="str">
        <f t="shared" si="137"/>
        <v>C[N+](C)(C)CCO.[Cl-]C(CO)C#N</v>
      </c>
      <c r="K2189">
        <v>78</v>
      </c>
      <c r="M2189">
        <f t="shared" si="138"/>
        <v>1.2296129867561181</v>
      </c>
      <c r="N2189">
        <f t="shared" si="139"/>
        <v>-0.16229737883845055</v>
      </c>
    </row>
    <row r="2190" spans="1:14" x14ac:dyDescent="0.35">
      <c r="A2190">
        <v>2188</v>
      </c>
      <c r="B2190" t="s">
        <v>7</v>
      </c>
      <c r="C2190" t="s">
        <v>48</v>
      </c>
      <c r="D2190">
        <v>0.25</v>
      </c>
      <c r="E2190">
        <v>0.75</v>
      </c>
      <c r="F2190">
        <v>328.15</v>
      </c>
      <c r="G2190">
        <v>1140.7</v>
      </c>
      <c r="H2190">
        <f t="shared" si="136"/>
        <v>-2.9622974974677536</v>
      </c>
      <c r="I2190">
        <v>5.1700000000000003E-2</v>
      </c>
      <c r="J2190" t="str">
        <f t="shared" si="137"/>
        <v>C[N+](C)(C)CCO.[Cl-]C(CO)C#N</v>
      </c>
      <c r="K2190">
        <v>78</v>
      </c>
      <c r="M2190">
        <f t="shared" si="138"/>
        <v>1.2296129867561181</v>
      </c>
      <c r="N2190">
        <f t="shared" si="139"/>
        <v>1.6618049639982573E-2</v>
      </c>
    </row>
    <row r="2191" spans="1:14" x14ac:dyDescent="0.35">
      <c r="A2191">
        <v>2189</v>
      </c>
      <c r="B2191" t="s">
        <v>7</v>
      </c>
      <c r="C2191" t="s">
        <v>48</v>
      </c>
      <c r="D2191">
        <v>0.25</v>
      </c>
      <c r="E2191">
        <v>0.75</v>
      </c>
      <c r="F2191">
        <v>328.15</v>
      </c>
      <c r="G2191">
        <v>1411</v>
      </c>
      <c r="H2191">
        <f t="shared" si="136"/>
        <v>-2.7598699498320065</v>
      </c>
      <c r="I2191">
        <v>6.3299999999999995E-2</v>
      </c>
      <c r="J2191" t="str">
        <f t="shared" si="137"/>
        <v>C[N+](C)(C)CCO.[Cl-]C(CO)C#N</v>
      </c>
      <c r="K2191">
        <v>78</v>
      </c>
      <c r="M2191">
        <f t="shared" si="138"/>
        <v>1.2296129867561181</v>
      </c>
      <c r="N2191">
        <f t="shared" si="139"/>
        <v>0.16779291777915248</v>
      </c>
    </row>
    <row r="2192" spans="1:14" x14ac:dyDescent="0.35">
      <c r="A2192">
        <v>2190</v>
      </c>
      <c r="B2192" t="s">
        <v>7</v>
      </c>
      <c r="C2192" t="s">
        <v>60</v>
      </c>
      <c r="D2192">
        <v>0.2</v>
      </c>
      <c r="E2192">
        <v>0.8</v>
      </c>
      <c r="F2192">
        <v>298.14999999999998</v>
      </c>
      <c r="G2192">
        <v>1000</v>
      </c>
      <c r="H2192">
        <f t="shared" si="136"/>
        <v>-3.1724694520540448</v>
      </c>
      <c r="I2192">
        <v>4.19E-2</v>
      </c>
      <c r="J2192" t="str">
        <f t="shared" si="137"/>
        <v>C[N+](C)(C)CCO.[Cl-]C(COCCOCCO)O</v>
      </c>
      <c r="K2192">
        <v>83</v>
      </c>
      <c r="M2192">
        <f t="shared" si="138"/>
        <v>-1.1215370428862177</v>
      </c>
      <c r="N2192">
        <f t="shared" si="139"/>
        <v>-6.207341890304819E-2</v>
      </c>
    </row>
    <row r="2193" spans="1:14" x14ac:dyDescent="0.35">
      <c r="A2193">
        <v>2191</v>
      </c>
      <c r="B2193" t="s">
        <v>7</v>
      </c>
      <c r="C2193" t="s">
        <v>40</v>
      </c>
      <c r="D2193">
        <v>0.2</v>
      </c>
      <c r="E2193">
        <v>0.8</v>
      </c>
      <c r="F2193">
        <v>298.14999999999998</v>
      </c>
      <c r="G2193">
        <v>1000</v>
      </c>
      <c r="H2193">
        <f t="shared" si="136"/>
        <v>-3.7722610630529876</v>
      </c>
      <c r="I2193">
        <v>2.3E-2</v>
      </c>
      <c r="J2193" t="str">
        <f t="shared" si="137"/>
        <v>C[N+](C)(C)CCO.[Cl-]C(CO)O</v>
      </c>
      <c r="K2193">
        <v>81</v>
      </c>
      <c r="M2193">
        <f t="shared" si="138"/>
        <v>-1.1215370428862177</v>
      </c>
      <c r="N2193">
        <f t="shared" si="139"/>
        <v>-6.207341890304819E-2</v>
      </c>
    </row>
    <row r="2194" spans="1:14" x14ac:dyDescent="0.35">
      <c r="A2194">
        <v>2192</v>
      </c>
      <c r="B2194" t="s">
        <v>7</v>
      </c>
      <c r="C2194" t="s">
        <v>40</v>
      </c>
      <c r="D2194">
        <v>0.1111111111111111</v>
      </c>
      <c r="E2194">
        <v>0.88888888888888884</v>
      </c>
      <c r="F2194">
        <v>298.14999999999998</v>
      </c>
      <c r="G2194">
        <v>1000</v>
      </c>
      <c r="H2194">
        <f t="shared" si="136"/>
        <v>-3.6419958682150857</v>
      </c>
      <c r="I2194">
        <v>2.6200000000000001E-2</v>
      </c>
      <c r="J2194" t="str">
        <f t="shared" si="137"/>
        <v>C[N+](C)(C)CCO.[Cl-]C(CO)O</v>
      </c>
      <c r="K2194">
        <v>81</v>
      </c>
      <c r="M2194">
        <f t="shared" si="138"/>
        <v>-1.1215370428862177</v>
      </c>
      <c r="N2194">
        <f t="shared" si="139"/>
        <v>-6.207341890304819E-2</v>
      </c>
    </row>
    <row r="2195" spans="1:14" x14ac:dyDescent="0.35">
      <c r="A2195">
        <v>2193</v>
      </c>
      <c r="B2195" t="s">
        <v>7</v>
      </c>
      <c r="C2195" t="s">
        <v>61</v>
      </c>
      <c r="D2195">
        <v>0.2</v>
      </c>
      <c r="E2195">
        <v>0.8</v>
      </c>
      <c r="F2195">
        <v>298.14999999999998</v>
      </c>
      <c r="G2195">
        <v>1000</v>
      </c>
      <c r="H2195">
        <f t="shared" si="136"/>
        <v>-3.7297014486341915</v>
      </c>
      <c r="I2195">
        <v>2.4E-2</v>
      </c>
      <c r="J2195" t="str">
        <f t="shared" si="137"/>
        <v>C[N+](C)(C)CCO.[Cl-]C(=O)(N)N</v>
      </c>
      <c r="K2195">
        <v>75</v>
      </c>
      <c r="M2195">
        <f t="shared" si="138"/>
        <v>-1.1215370428862177</v>
      </c>
      <c r="N2195">
        <f t="shared" si="139"/>
        <v>-6.207341890304819E-2</v>
      </c>
    </row>
    <row r="2196" spans="1:14" x14ac:dyDescent="0.35">
      <c r="A2196">
        <v>2194</v>
      </c>
      <c r="B2196" t="s">
        <v>7</v>
      </c>
      <c r="C2196" t="s">
        <v>61</v>
      </c>
      <c r="D2196">
        <v>0.2857142857142857</v>
      </c>
      <c r="E2196">
        <v>0.7142857142857143</v>
      </c>
      <c r="F2196">
        <v>298.14999999999998</v>
      </c>
      <c r="G2196">
        <v>1000</v>
      </c>
      <c r="H2196">
        <f t="shared" si="136"/>
        <v>-3.8584822385001161</v>
      </c>
      <c r="I2196">
        <v>2.1100000000000001E-2</v>
      </c>
      <c r="J2196" t="str">
        <f t="shared" si="137"/>
        <v>C[N+](C)(C)CCO.[Cl-]C(=O)(N)N</v>
      </c>
      <c r="K2196">
        <v>75</v>
      </c>
      <c r="M2196">
        <f t="shared" si="138"/>
        <v>-1.1215370428862177</v>
      </c>
      <c r="N2196">
        <f t="shared" si="139"/>
        <v>-6.207341890304819E-2</v>
      </c>
    </row>
    <row r="2197" spans="1:14" x14ac:dyDescent="0.35">
      <c r="A2197">
        <v>2195</v>
      </c>
      <c r="B2197" t="s">
        <v>7</v>
      </c>
      <c r="C2197" t="s">
        <v>42</v>
      </c>
      <c r="D2197">
        <v>0.25</v>
      </c>
      <c r="E2197">
        <v>0.75</v>
      </c>
      <c r="F2197">
        <v>298.14999999999998</v>
      </c>
      <c r="G2197">
        <v>1000</v>
      </c>
      <c r="H2197">
        <f t="shared" si="136"/>
        <v>-3.0922431739348348</v>
      </c>
      <c r="I2197">
        <v>4.5400000000000003E-2</v>
      </c>
      <c r="J2197" t="str">
        <f t="shared" si="137"/>
        <v>C[N+](C)(C)CCO.[Cl-]C(C(CO)O)O</v>
      </c>
      <c r="K2197">
        <v>76</v>
      </c>
      <c r="M2197">
        <f t="shared" si="138"/>
        <v>-1.1215370428862177</v>
      </c>
      <c r="N2197">
        <f t="shared" si="139"/>
        <v>-6.207341890304819E-2</v>
      </c>
    </row>
    <row r="2198" spans="1:14" x14ac:dyDescent="0.35">
      <c r="A2198">
        <v>2196</v>
      </c>
      <c r="B2198" t="s">
        <v>7</v>
      </c>
      <c r="C2198" t="s">
        <v>42</v>
      </c>
      <c r="D2198">
        <v>0.1111111111111111</v>
      </c>
      <c r="E2198">
        <v>0.88888888888888884</v>
      </c>
      <c r="F2198">
        <v>298.14999999999998</v>
      </c>
      <c r="G2198">
        <v>1000</v>
      </c>
      <c r="H2198">
        <f t="shared" si="136"/>
        <v>-3.486755270023802</v>
      </c>
      <c r="I2198">
        <v>3.0599999999999999E-2</v>
      </c>
      <c r="J2198" t="str">
        <f t="shared" si="137"/>
        <v>C[N+](C)(C)CCO.[Cl-]C(C(CO)O)O</v>
      </c>
      <c r="K2198">
        <v>76</v>
      </c>
      <c r="M2198">
        <f t="shared" si="138"/>
        <v>-1.1215370428862177</v>
      </c>
      <c r="N2198">
        <f t="shared" si="139"/>
        <v>-6.207341890304819E-2</v>
      </c>
    </row>
    <row r="2199" spans="1:14" x14ac:dyDescent="0.35">
      <c r="A2199">
        <v>2197</v>
      </c>
      <c r="B2199" t="s">
        <v>7</v>
      </c>
      <c r="C2199" t="s">
        <v>46</v>
      </c>
      <c r="D2199">
        <v>0.14285714285714285</v>
      </c>
      <c r="E2199">
        <v>0.85714285714285721</v>
      </c>
      <c r="F2199">
        <v>298.14999999999998</v>
      </c>
      <c r="G2199">
        <v>1000</v>
      </c>
      <c r="H2199">
        <f t="shared" si="136"/>
        <v>-2.2109179044682219</v>
      </c>
      <c r="I2199">
        <v>0.1096</v>
      </c>
      <c r="J2199" t="str">
        <f t="shared" si="137"/>
        <v>C[N+](C)(C)CCO.[Cl-]C(CO)N</v>
      </c>
      <c r="K2199">
        <v>79</v>
      </c>
      <c r="M2199">
        <f t="shared" si="138"/>
        <v>-1.1215370428862177</v>
      </c>
      <c r="N2199">
        <f t="shared" si="139"/>
        <v>-6.207341890304819E-2</v>
      </c>
    </row>
    <row r="2200" spans="1:14" x14ac:dyDescent="0.35">
      <c r="A2200">
        <v>2198</v>
      </c>
      <c r="B2200" t="s">
        <v>7</v>
      </c>
      <c r="C2200" t="s">
        <v>46</v>
      </c>
      <c r="D2200">
        <v>0.14285714285714285</v>
      </c>
      <c r="E2200">
        <v>0.85714285714285721</v>
      </c>
      <c r="F2200">
        <v>298.14999999999998</v>
      </c>
      <c r="G2200">
        <v>1000</v>
      </c>
      <c r="H2200">
        <f t="shared" si="136"/>
        <v>-2.3805466344637574</v>
      </c>
      <c r="I2200">
        <v>9.2499999999999999E-2</v>
      </c>
      <c r="J2200" t="str">
        <f t="shared" si="137"/>
        <v>C[N+](C)(C)CCO.[Cl-]C(CO)N</v>
      </c>
      <c r="K2200">
        <v>79</v>
      </c>
      <c r="M2200">
        <f t="shared" si="138"/>
        <v>-1.1215370428862177</v>
      </c>
      <c r="N2200">
        <f t="shared" si="139"/>
        <v>-6.207341890304819E-2</v>
      </c>
    </row>
    <row r="2201" spans="1:14" x14ac:dyDescent="0.35">
      <c r="A2201">
        <v>2199</v>
      </c>
      <c r="B2201" t="s">
        <v>24</v>
      </c>
      <c r="C2201" t="s">
        <v>42</v>
      </c>
      <c r="D2201">
        <v>7.6923076923076927E-2</v>
      </c>
      <c r="E2201">
        <v>0.92307692307692313</v>
      </c>
      <c r="F2201">
        <v>298.14999999999998</v>
      </c>
      <c r="G2201">
        <v>1000</v>
      </c>
      <c r="H2201">
        <f t="shared" si="136"/>
        <v>-2.9739707817724783</v>
      </c>
      <c r="I2201">
        <v>5.11E-2</v>
      </c>
      <c r="J2201" t="str">
        <f t="shared" si="137"/>
        <v>C1=CC=C(C=C1)C[P+](C2=CC=CC=C2)(C3=CC=CC=C3)C4=CC=CC=C4.[Cl-]C(C(CO)O)O</v>
      </c>
      <c r="K2201">
        <v>3</v>
      </c>
      <c r="M2201">
        <f t="shared" si="138"/>
        <v>-1.1215370428862177</v>
      </c>
      <c r="N2201">
        <f t="shared" si="139"/>
        <v>-6.207341890304819E-2</v>
      </c>
    </row>
    <row r="2202" spans="1:14" x14ac:dyDescent="0.35">
      <c r="A2202">
        <v>2200</v>
      </c>
      <c r="B2202" t="s">
        <v>32</v>
      </c>
      <c r="C2202" t="s">
        <v>40</v>
      </c>
      <c r="D2202">
        <v>7.6923076923076927E-2</v>
      </c>
      <c r="E2202">
        <v>0.92307692307692313</v>
      </c>
      <c r="F2202">
        <v>298.14999999999998</v>
      </c>
      <c r="G2202">
        <v>1000</v>
      </c>
      <c r="H2202">
        <f t="shared" si="136"/>
        <v>-2.9897502018764435</v>
      </c>
      <c r="I2202">
        <v>5.0299999999999997E-2</v>
      </c>
      <c r="J2202" t="str">
        <f t="shared" si="137"/>
        <v>CCCC[P+](C1=CC=CC=C1)(C2=CC=CC=C2)C3=CC=CC=C3.[Br-]C(CO)O</v>
      </c>
      <c r="K2202">
        <v>40</v>
      </c>
      <c r="M2202">
        <f t="shared" si="138"/>
        <v>-1.1215370428862177</v>
      </c>
      <c r="N2202">
        <f t="shared" si="139"/>
        <v>-6.207341890304819E-2</v>
      </c>
    </row>
    <row r="2203" spans="1:14" x14ac:dyDescent="0.35">
      <c r="A2203">
        <v>2201</v>
      </c>
      <c r="B2203" t="s">
        <v>10</v>
      </c>
      <c r="C2203" t="s">
        <v>46</v>
      </c>
      <c r="D2203">
        <v>0.14285714285714285</v>
      </c>
      <c r="E2203">
        <v>0.85714285714285721</v>
      </c>
      <c r="F2203">
        <v>298.14999999999998</v>
      </c>
      <c r="G2203">
        <v>1000</v>
      </c>
      <c r="H2203">
        <f t="shared" si="136"/>
        <v>-1.9372477759766606</v>
      </c>
      <c r="I2203">
        <v>0.14410000000000001</v>
      </c>
      <c r="J2203" t="str">
        <f t="shared" si="137"/>
        <v>C[P+](C1=CC=CC=C1)(C2=CC=CC=C2)C3=CC=CC=C3.[Br-]C(CO)N</v>
      </c>
      <c r="K2203">
        <v>94</v>
      </c>
      <c r="M2203">
        <f t="shared" si="138"/>
        <v>-1.1215370428862177</v>
      </c>
      <c r="N2203">
        <f t="shared" si="139"/>
        <v>-6.207341890304819E-2</v>
      </c>
    </row>
    <row r="2204" spans="1:14" x14ac:dyDescent="0.35">
      <c r="A2204">
        <v>2202</v>
      </c>
      <c r="B2204" t="s">
        <v>10</v>
      </c>
      <c r="C2204" t="s">
        <v>46</v>
      </c>
      <c r="D2204">
        <v>0.125</v>
      </c>
      <c r="E2204">
        <v>0.875</v>
      </c>
      <c r="F2204">
        <v>298.14999999999998</v>
      </c>
      <c r="G2204">
        <v>1000</v>
      </c>
      <c r="H2204">
        <f t="shared" si="136"/>
        <v>-2.0762466507833168</v>
      </c>
      <c r="I2204">
        <v>0.12540000000000001</v>
      </c>
      <c r="J2204" t="str">
        <f t="shared" si="137"/>
        <v>C[P+](C1=CC=CC=C1)(C2=CC=CC=C2)C3=CC=CC=C3.[Br-]C(CO)N</v>
      </c>
      <c r="K2204">
        <v>94</v>
      </c>
      <c r="M2204">
        <f t="shared" si="138"/>
        <v>-1.1215370428862177</v>
      </c>
      <c r="N2204">
        <f t="shared" si="139"/>
        <v>-6.207341890304819E-2</v>
      </c>
    </row>
    <row r="2205" spans="1:14" x14ac:dyDescent="0.35">
      <c r="A2205">
        <v>2203</v>
      </c>
      <c r="B2205" t="s">
        <v>10</v>
      </c>
      <c r="C2205" t="s">
        <v>46</v>
      </c>
      <c r="D2205">
        <v>0.1111111111111111</v>
      </c>
      <c r="E2205">
        <v>0.88888888888888884</v>
      </c>
      <c r="F2205">
        <v>298.14999999999998</v>
      </c>
      <c r="G2205">
        <v>1000</v>
      </c>
      <c r="H2205">
        <f t="shared" si="136"/>
        <v>-2.1294724752854011</v>
      </c>
      <c r="I2205">
        <v>0.11890000000000001</v>
      </c>
      <c r="J2205" t="str">
        <f t="shared" si="137"/>
        <v>C[P+](C1=CC=CC=C1)(C2=CC=CC=C2)C3=CC=CC=C3.[Br-]C(CO)N</v>
      </c>
      <c r="K2205">
        <v>94</v>
      </c>
      <c r="M2205">
        <f t="shared" si="138"/>
        <v>-1.1215370428862177</v>
      </c>
      <c r="N2205">
        <f t="shared" si="139"/>
        <v>-6.207341890304819E-2</v>
      </c>
    </row>
    <row r="2206" spans="1:14" x14ac:dyDescent="0.35">
      <c r="A2206">
        <v>2204</v>
      </c>
      <c r="B2206" t="s">
        <v>11</v>
      </c>
      <c r="C2206" t="s">
        <v>55</v>
      </c>
      <c r="D2206">
        <v>0.2</v>
      </c>
      <c r="E2206">
        <v>0.8</v>
      </c>
      <c r="F2206">
        <v>303.14999999999998</v>
      </c>
      <c r="G2206">
        <v>1046</v>
      </c>
      <c r="H2206">
        <f t="shared" si="136"/>
        <v>-1.2039728043259361</v>
      </c>
      <c r="I2206">
        <v>0.3</v>
      </c>
      <c r="J2206" t="str">
        <f t="shared" si="137"/>
        <v>CCCC[N+](CCCC)(CCCC)CCCC.[Br-]CNCCO</v>
      </c>
      <c r="K2206">
        <v>35</v>
      </c>
      <c r="M2206">
        <f t="shared" si="138"/>
        <v>-0.72967870461249518</v>
      </c>
      <c r="N2206">
        <f t="shared" si="139"/>
        <v>-3.6346286330344466E-2</v>
      </c>
    </row>
    <row r="2207" spans="1:14" x14ac:dyDescent="0.35">
      <c r="A2207">
        <v>2205</v>
      </c>
      <c r="B2207" t="s">
        <v>5</v>
      </c>
      <c r="C2207" t="s">
        <v>55</v>
      </c>
      <c r="D2207">
        <v>0.2</v>
      </c>
      <c r="E2207">
        <v>0.8</v>
      </c>
      <c r="F2207">
        <v>303.14999999999998</v>
      </c>
      <c r="G2207">
        <v>1007</v>
      </c>
      <c r="H2207">
        <f t="shared" si="136"/>
        <v>-1.4271163556401458</v>
      </c>
      <c r="I2207">
        <v>0.24</v>
      </c>
      <c r="J2207" t="str">
        <f t="shared" si="137"/>
        <v>CC[N+](CC)(CC)CC1=CC=CC=C1.[Cl-]CNCCO</v>
      </c>
      <c r="K2207">
        <v>61</v>
      </c>
      <c r="M2207">
        <f t="shared" si="138"/>
        <v>-0.72967870461249518</v>
      </c>
      <c r="N2207">
        <f t="shared" si="139"/>
        <v>-5.8158420468071535E-2</v>
      </c>
    </row>
    <row r="2208" spans="1:14" x14ac:dyDescent="0.35">
      <c r="A2208">
        <v>2206</v>
      </c>
      <c r="B2208" t="s">
        <v>11</v>
      </c>
      <c r="C2208" t="s">
        <v>47</v>
      </c>
      <c r="D2208">
        <v>0.2</v>
      </c>
      <c r="E2208">
        <v>0.8</v>
      </c>
      <c r="F2208">
        <v>303.14999999999998</v>
      </c>
      <c r="G2208">
        <v>993</v>
      </c>
      <c r="H2208">
        <f t="shared" si="136"/>
        <v>-1.5141277326297755</v>
      </c>
      <c r="I2208">
        <v>0.22</v>
      </c>
      <c r="J2208" t="str">
        <f t="shared" si="137"/>
        <v>CCCC[N+](CCCC)(CCCC)CCCC.[Br-]CCNCCO</v>
      </c>
      <c r="K2208">
        <v>33</v>
      </c>
      <c r="M2208">
        <f t="shared" si="138"/>
        <v>-0.72967870461249518</v>
      </c>
      <c r="N2208">
        <f t="shared" si="139"/>
        <v>-6.5988417338024838E-2</v>
      </c>
    </row>
    <row r="2209" spans="1:14" x14ac:dyDescent="0.35">
      <c r="A2209">
        <v>2207</v>
      </c>
      <c r="B2209" t="s">
        <v>5</v>
      </c>
      <c r="C2209" t="s">
        <v>47</v>
      </c>
      <c r="D2209">
        <v>0.2</v>
      </c>
      <c r="E2209">
        <v>0.8</v>
      </c>
      <c r="F2209">
        <v>303.14999999999998</v>
      </c>
      <c r="G2209">
        <v>1019</v>
      </c>
      <c r="H2209">
        <f t="shared" si="136"/>
        <v>-1.4271163556401458</v>
      </c>
      <c r="I2209">
        <v>0.24</v>
      </c>
      <c r="J2209" t="str">
        <f t="shared" si="137"/>
        <v>CC[N+](CC)(CC)CC1=CC=CC=C1.[Cl-]CCNCCO</v>
      </c>
      <c r="K2209">
        <v>60</v>
      </c>
      <c r="M2209">
        <f t="shared" si="138"/>
        <v>-0.72967870461249518</v>
      </c>
      <c r="N2209">
        <f t="shared" si="139"/>
        <v>-5.1446994579540134E-2</v>
      </c>
    </row>
    <row r="2210" spans="1:14" x14ac:dyDescent="0.35">
      <c r="A2210">
        <v>2208</v>
      </c>
      <c r="B2210" t="s">
        <v>13</v>
      </c>
      <c r="C2210" t="s">
        <v>40</v>
      </c>
      <c r="D2210">
        <v>7.6923076923076927E-2</v>
      </c>
      <c r="E2210">
        <v>0.92307692307692313</v>
      </c>
      <c r="F2210">
        <v>298.14999999999998</v>
      </c>
      <c r="G2210">
        <v>1000</v>
      </c>
      <c r="H2210">
        <f t="shared" si="136"/>
        <v>-2.9917526072753362</v>
      </c>
      <c r="I2210">
        <v>5.0199379783289075E-2</v>
      </c>
      <c r="J2210" t="str">
        <f t="shared" si="137"/>
        <v>CCCC[P+](CCCC)(CCCC)CCCC.[Br-]C(CO)O</v>
      </c>
      <c r="K2210">
        <v>42</v>
      </c>
      <c r="M2210">
        <f t="shared" si="138"/>
        <v>-1.1215370428862177</v>
      </c>
      <c r="N2210">
        <f t="shared" si="139"/>
        <v>-6.207341890304819E-2</v>
      </c>
    </row>
    <row r="2211" spans="1:14" x14ac:dyDescent="0.35">
      <c r="A2211">
        <v>2209</v>
      </c>
      <c r="B2211" t="s">
        <v>13</v>
      </c>
      <c r="C2211" t="s">
        <v>42</v>
      </c>
      <c r="D2211">
        <v>7.6923076923076927E-2</v>
      </c>
      <c r="E2211">
        <v>0.92307692307692313</v>
      </c>
      <c r="F2211">
        <v>298.14999999999998</v>
      </c>
      <c r="G2211">
        <v>1000</v>
      </c>
      <c r="H2211">
        <f t="shared" si="136"/>
        <v>-2.9862441626240295</v>
      </c>
      <c r="I2211">
        <v>5.0476663287640243E-2</v>
      </c>
      <c r="J2211" t="str">
        <f t="shared" si="137"/>
        <v>CCCC[P+](CCCC)(CCCC)CCCC.[Br-]C(C(CO)O)O</v>
      </c>
      <c r="K2211">
        <v>41</v>
      </c>
      <c r="M2211">
        <f t="shared" si="138"/>
        <v>-1.1215370428862177</v>
      </c>
      <c r="N2211">
        <f t="shared" si="139"/>
        <v>-6.207341890304819E-2</v>
      </c>
    </row>
    <row r="2212" spans="1:14" x14ac:dyDescent="0.35">
      <c r="A2212">
        <v>2210</v>
      </c>
      <c r="B2212" t="s">
        <v>7</v>
      </c>
      <c r="C2212" t="s">
        <v>61</v>
      </c>
      <c r="D2212">
        <v>0.33333333333333331</v>
      </c>
      <c r="E2212">
        <v>0.66666666666666674</v>
      </c>
      <c r="F2212">
        <v>303</v>
      </c>
      <c r="G2212">
        <v>1615</v>
      </c>
      <c r="H2212">
        <f t="shared" si="136"/>
        <v>-2.3359350726755999</v>
      </c>
      <c r="I2212">
        <v>9.672E-2</v>
      </c>
      <c r="J2212" t="str">
        <f t="shared" si="137"/>
        <v>C[N+](C)(C)CCO.[Cl-]C(=O)(N)N</v>
      </c>
      <c r="K2212">
        <v>75</v>
      </c>
      <c r="M2212">
        <f t="shared" si="138"/>
        <v>-0.74143445476070502</v>
      </c>
      <c r="N2212">
        <f t="shared" si="139"/>
        <v>0.28188715788418639</v>
      </c>
    </row>
    <row r="2213" spans="1:14" x14ac:dyDescent="0.35">
      <c r="A2213">
        <v>2211</v>
      </c>
      <c r="B2213" t="s">
        <v>7</v>
      </c>
      <c r="C2213" t="s">
        <v>61</v>
      </c>
      <c r="D2213">
        <v>0.33333333333333331</v>
      </c>
      <c r="E2213">
        <v>0.66666666666666674</v>
      </c>
      <c r="F2213">
        <v>303</v>
      </c>
      <c r="G2213">
        <v>2100</v>
      </c>
      <c r="H2213">
        <f t="shared" si="136"/>
        <v>-1.943722543609901</v>
      </c>
      <c r="I2213">
        <v>0.14316999999999999</v>
      </c>
      <c r="J2213" t="str">
        <f t="shared" si="137"/>
        <v>C[N+](C)(C)CCO.[Cl-]C(=O)(N)N</v>
      </c>
      <c r="K2213">
        <v>75</v>
      </c>
      <c r="M2213">
        <f t="shared" si="138"/>
        <v>-0.74143445476070502</v>
      </c>
      <c r="N2213">
        <f t="shared" si="139"/>
        <v>0.5531406208789974</v>
      </c>
    </row>
    <row r="2214" spans="1:14" x14ac:dyDescent="0.35">
      <c r="A2214">
        <v>2212</v>
      </c>
      <c r="B2214" t="s">
        <v>7</v>
      </c>
      <c r="C2214" t="s">
        <v>61</v>
      </c>
      <c r="D2214">
        <v>0.33333333333333331</v>
      </c>
      <c r="E2214">
        <v>0.66666666666666674</v>
      </c>
      <c r="F2214">
        <v>303</v>
      </c>
      <c r="G2214">
        <v>2455</v>
      </c>
      <c r="H2214">
        <f t="shared" si="136"/>
        <v>-1.6738697725934892</v>
      </c>
      <c r="I2214">
        <v>0.18751999999999999</v>
      </c>
      <c r="J2214" t="str">
        <f t="shared" si="137"/>
        <v>C[N+](C)(C)CCO.[Cl-]C(=O)(N)N</v>
      </c>
      <c r="K2214">
        <v>75</v>
      </c>
      <c r="M2214">
        <f t="shared" si="138"/>
        <v>-0.74143445476070502</v>
      </c>
      <c r="N2214">
        <f t="shared" si="139"/>
        <v>0.75168697008138485</v>
      </c>
    </row>
    <row r="2215" spans="1:14" x14ac:dyDescent="0.35">
      <c r="A2215">
        <v>2213</v>
      </c>
      <c r="B2215" t="s">
        <v>7</v>
      </c>
      <c r="C2215" t="s">
        <v>61</v>
      </c>
      <c r="D2215">
        <v>0.33333333333333331</v>
      </c>
      <c r="E2215">
        <v>0.66666666666666674</v>
      </c>
      <c r="F2215">
        <v>303</v>
      </c>
      <c r="G2215">
        <v>3490</v>
      </c>
      <c r="H2215">
        <f t="shared" si="136"/>
        <v>-1.3414739708484229</v>
      </c>
      <c r="I2215">
        <v>0.26146000000000003</v>
      </c>
      <c r="J2215" t="str">
        <f t="shared" si="137"/>
        <v>C[N+](C)(C)CCO.[Cl-]C(=O)(N)N</v>
      </c>
      <c r="K2215">
        <v>75</v>
      </c>
      <c r="M2215">
        <f t="shared" si="138"/>
        <v>-0.74143445476070502</v>
      </c>
      <c r="N2215">
        <f t="shared" si="139"/>
        <v>1.3305474529672185</v>
      </c>
    </row>
    <row r="2216" spans="1:14" x14ac:dyDescent="0.35">
      <c r="A2216">
        <v>2214</v>
      </c>
      <c r="B2216" t="s">
        <v>7</v>
      </c>
      <c r="C2216" t="s">
        <v>61</v>
      </c>
      <c r="D2216">
        <v>0.33333333333333331</v>
      </c>
      <c r="E2216">
        <v>0.66666666666666674</v>
      </c>
      <c r="F2216">
        <v>303</v>
      </c>
      <c r="G2216">
        <v>3900</v>
      </c>
      <c r="H2216">
        <f t="shared" si="136"/>
        <v>-1.258992330746709</v>
      </c>
      <c r="I2216">
        <v>0.28394000000000003</v>
      </c>
      <c r="J2216" t="str">
        <f t="shared" si="137"/>
        <v>C[N+](C)(C)CCO.[Cl-]C(=O)(N)N</v>
      </c>
      <c r="K2216">
        <v>75</v>
      </c>
      <c r="M2216">
        <f t="shared" si="138"/>
        <v>-0.74143445476070502</v>
      </c>
      <c r="N2216">
        <f t="shared" si="139"/>
        <v>1.5598545041587084</v>
      </c>
    </row>
    <row r="2217" spans="1:14" x14ac:dyDescent="0.35">
      <c r="A2217">
        <v>2215</v>
      </c>
      <c r="B2217" t="s">
        <v>7</v>
      </c>
      <c r="C2217" t="s">
        <v>61</v>
      </c>
      <c r="D2217">
        <v>0.33333333333333331</v>
      </c>
      <c r="E2217">
        <v>0.66666666666666674</v>
      </c>
      <c r="F2217">
        <v>313</v>
      </c>
      <c r="G2217">
        <v>1610</v>
      </c>
      <c r="H2217">
        <f t="shared" si="136"/>
        <v>-2.3113231589373311</v>
      </c>
      <c r="I2217">
        <v>9.9129999999999996E-2</v>
      </c>
      <c r="J2217" t="str">
        <f t="shared" si="137"/>
        <v>C[N+](C)(C)CCO.[Cl-]C(=O)(N)N</v>
      </c>
      <c r="K2217">
        <v>75</v>
      </c>
      <c r="M2217">
        <f t="shared" si="138"/>
        <v>4.2282221786740244E-2</v>
      </c>
      <c r="N2217">
        <f t="shared" si="139"/>
        <v>0.27909073043063165</v>
      </c>
    </row>
    <row r="2218" spans="1:14" x14ac:dyDescent="0.35">
      <c r="A2218">
        <v>2216</v>
      </c>
      <c r="B2218" t="s">
        <v>7</v>
      </c>
      <c r="C2218" t="s">
        <v>61</v>
      </c>
      <c r="D2218">
        <v>0.33333333333333331</v>
      </c>
      <c r="E2218">
        <v>0.66666666666666674</v>
      </c>
      <c r="F2218">
        <v>313</v>
      </c>
      <c r="G2218">
        <v>2515</v>
      </c>
      <c r="H2218">
        <f t="shared" si="136"/>
        <v>-1.8937921947932066</v>
      </c>
      <c r="I2218">
        <v>0.15049999999999999</v>
      </c>
      <c r="J2218" t="str">
        <f t="shared" si="137"/>
        <v>C[N+](C)(C)CCO.[Cl-]C(=O)(N)N</v>
      </c>
      <c r="K2218">
        <v>75</v>
      </c>
      <c r="M2218">
        <f t="shared" si="138"/>
        <v>4.2282221786740244E-2</v>
      </c>
      <c r="N2218">
        <f t="shared" si="139"/>
        <v>0.78524409952404184</v>
      </c>
    </row>
    <row r="2219" spans="1:14" x14ac:dyDescent="0.35">
      <c r="A2219">
        <v>2217</v>
      </c>
      <c r="B2219" t="s">
        <v>7</v>
      </c>
      <c r="C2219" t="s">
        <v>61</v>
      </c>
      <c r="D2219">
        <v>0.33333333333333331</v>
      </c>
      <c r="E2219">
        <v>0.66666666666666674</v>
      </c>
      <c r="F2219">
        <v>313</v>
      </c>
      <c r="G2219">
        <v>3710</v>
      </c>
      <c r="H2219">
        <f t="shared" si="136"/>
        <v>-1.4848778924986932</v>
      </c>
      <c r="I2219">
        <v>0.22653000000000001</v>
      </c>
      <c r="J2219" t="str">
        <f t="shared" si="137"/>
        <v>C[N+](C)(C)CCO.[Cl-]C(=O)(N)N</v>
      </c>
      <c r="K2219">
        <v>75</v>
      </c>
      <c r="M2219">
        <f t="shared" si="138"/>
        <v>4.2282221786740244E-2</v>
      </c>
      <c r="N2219">
        <f t="shared" si="139"/>
        <v>1.4535902609236278</v>
      </c>
    </row>
    <row r="2220" spans="1:14" x14ac:dyDescent="0.35">
      <c r="A2220">
        <v>2218</v>
      </c>
      <c r="B2220" t="s">
        <v>7</v>
      </c>
      <c r="C2220" t="s">
        <v>61</v>
      </c>
      <c r="D2220">
        <v>0.33333333333333331</v>
      </c>
      <c r="E2220">
        <v>0.66666666666666674</v>
      </c>
      <c r="F2220">
        <v>323</v>
      </c>
      <c r="G2220">
        <v>1520</v>
      </c>
      <c r="H2220">
        <f t="shared" si="136"/>
        <v>-2.4493464743894493</v>
      </c>
      <c r="I2220">
        <v>8.6349999999999996E-2</v>
      </c>
      <c r="J2220" t="str">
        <f t="shared" si="137"/>
        <v>C[N+](C)(C)CCO.[Cl-]C(=O)(N)N</v>
      </c>
      <c r="K2220">
        <v>75</v>
      </c>
      <c r="M2220">
        <f t="shared" si="138"/>
        <v>0.82599889833418549</v>
      </c>
      <c r="N2220">
        <f t="shared" si="139"/>
        <v>0.22875503626664609</v>
      </c>
    </row>
    <row r="2221" spans="1:14" x14ac:dyDescent="0.35">
      <c r="A2221">
        <v>2219</v>
      </c>
      <c r="B2221" t="s">
        <v>7</v>
      </c>
      <c r="C2221" t="s">
        <v>61</v>
      </c>
      <c r="D2221">
        <v>0.33333333333333331</v>
      </c>
      <c r="E2221">
        <v>0.66666666666666674</v>
      </c>
      <c r="F2221">
        <v>323</v>
      </c>
      <c r="G2221">
        <v>2390</v>
      </c>
      <c r="H2221">
        <f t="shared" si="136"/>
        <v>-1.9723465311283517</v>
      </c>
      <c r="I2221">
        <v>0.13913</v>
      </c>
      <c r="J2221" t="str">
        <f t="shared" si="137"/>
        <v>C[N+](C)(C)CCO.[Cl-]C(=O)(N)N</v>
      </c>
      <c r="K2221">
        <v>75</v>
      </c>
      <c r="M2221">
        <f t="shared" si="138"/>
        <v>0.82599889833418549</v>
      </c>
      <c r="N2221">
        <f t="shared" si="139"/>
        <v>0.71533341318517307</v>
      </c>
    </row>
    <row r="2222" spans="1:14" x14ac:dyDescent="0.35">
      <c r="A2222">
        <v>2220</v>
      </c>
      <c r="B2222" t="s">
        <v>7</v>
      </c>
      <c r="C2222" t="s">
        <v>61</v>
      </c>
      <c r="D2222">
        <v>0.33333333333333331</v>
      </c>
      <c r="E2222">
        <v>0.66666666666666674</v>
      </c>
      <c r="F2222">
        <v>323</v>
      </c>
      <c r="G2222">
        <v>3485</v>
      </c>
      <c r="H2222">
        <f t="shared" si="136"/>
        <v>-1.5858678809216682</v>
      </c>
      <c r="I2222">
        <v>0.20477000000000001</v>
      </c>
      <c r="J2222" t="str">
        <f t="shared" si="137"/>
        <v>C[N+](C)(C)CCO.[Cl-]C(=O)(N)N</v>
      </c>
      <c r="K2222">
        <v>75</v>
      </c>
      <c r="M2222">
        <f t="shared" si="138"/>
        <v>0.82599889833418549</v>
      </c>
      <c r="N2222">
        <f t="shared" si="139"/>
        <v>1.327751025513664</v>
      </c>
    </row>
    <row r="2223" spans="1:14" x14ac:dyDescent="0.35">
      <c r="A2223">
        <v>2221</v>
      </c>
      <c r="B2223" t="s">
        <v>27</v>
      </c>
      <c r="C2223" t="s">
        <v>78</v>
      </c>
      <c r="D2223">
        <v>0.5</v>
      </c>
      <c r="E2223">
        <v>0.5</v>
      </c>
      <c r="F2223">
        <v>298</v>
      </c>
      <c r="G2223">
        <v>450</v>
      </c>
      <c r="H2223">
        <f t="shared" si="136"/>
        <v>-2.739386081412063</v>
      </c>
      <c r="I2223">
        <v>6.4610000000000001E-2</v>
      </c>
      <c r="J2223" t="str">
        <f t="shared" si="137"/>
        <v>CC1=CCC(CC1=O)C(=C)CCC1CCC(C(C1)O)C(C)C</v>
      </c>
      <c r="K2223">
        <v>19</v>
      </c>
      <c r="M2223">
        <f t="shared" si="138"/>
        <v>-1.1332927930344276</v>
      </c>
      <c r="N2223">
        <f t="shared" si="139"/>
        <v>-0.36968043879407098</v>
      </c>
    </row>
    <row r="2224" spans="1:14" x14ac:dyDescent="0.35">
      <c r="A2224">
        <v>2222</v>
      </c>
      <c r="B2224" t="s">
        <v>27</v>
      </c>
      <c r="C2224" t="s">
        <v>78</v>
      </c>
      <c r="D2224">
        <v>0.5</v>
      </c>
      <c r="E2224">
        <v>0.5</v>
      </c>
      <c r="F2224">
        <v>298</v>
      </c>
      <c r="G2224">
        <v>1095</v>
      </c>
      <c r="H2224">
        <f t="shared" si="136"/>
        <v>-1.847822013164595</v>
      </c>
      <c r="I2224">
        <v>0.15758</v>
      </c>
      <c r="J2224" t="str">
        <f t="shared" si="137"/>
        <v>CC1=CCC(CC1=O)C(=C)CCC1CCC(C(C1)O)C(C)C</v>
      </c>
      <c r="K2224">
        <v>19</v>
      </c>
      <c r="M2224">
        <f t="shared" si="138"/>
        <v>-1.1332927930344276</v>
      </c>
      <c r="N2224">
        <f t="shared" si="139"/>
        <v>-8.9412972855078907E-3</v>
      </c>
    </row>
    <row r="2225" spans="1:14" x14ac:dyDescent="0.35">
      <c r="A2225">
        <v>2223</v>
      </c>
      <c r="B2225" t="s">
        <v>27</v>
      </c>
      <c r="C2225" t="s">
        <v>78</v>
      </c>
      <c r="D2225">
        <v>0.5</v>
      </c>
      <c r="E2225">
        <v>0.5</v>
      </c>
      <c r="F2225">
        <v>298</v>
      </c>
      <c r="G2225">
        <v>2015</v>
      </c>
      <c r="H2225">
        <f t="shared" si="136"/>
        <v>-1.06134540607618</v>
      </c>
      <c r="I2225">
        <v>0.34599000000000002</v>
      </c>
      <c r="J2225" t="str">
        <f t="shared" si="137"/>
        <v>CC1=CCC(CC1=O)C(=C)CCC1CCC(C(C1)O)C(C)C</v>
      </c>
      <c r="K2225">
        <v>19</v>
      </c>
      <c r="M2225">
        <f t="shared" si="138"/>
        <v>-1.1332927930344276</v>
      </c>
      <c r="N2225">
        <f t="shared" si="139"/>
        <v>0.50560135416856655</v>
      </c>
    </row>
    <row r="2226" spans="1:14" x14ac:dyDescent="0.35">
      <c r="A2226">
        <v>2224</v>
      </c>
      <c r="B2226" t="s">
        <v>27</v>
      </c>
      <c r="C2226" t="s">
        <v>78</v>
      </c>
      <c r="D2226">
        <v>0.5</v>
      </c>
      <c r="E2226">
        <v>0.5</v>
      </c>
      <c r="F2226">
        <v>298</v>
      </c>
      <c r="G2226">
        <v>3010</v>
      </c>
      <c r="H2226">
        <f t="shared" si="136"/>
        <v>-0.77979498728561747</v>
      </c>
      <c r="I2226">
        <v>0.45850000000000002</v>
      </c>
      <c r="J2226" t="str">
        <f t="shared" si="137"/>
        <v>CC1=CCC(CC1=O)C(=C)CCC1CCC(C(C1)O)C(C)C</v>
      </c>
      <c r="K2226">
        <v>19</v>
      </c>
      <c r="M2226">
        <f t="shared" si="138"/>
        <v>-1.1332927930344276</v>
      </c>
      <c r="N2226">
        <f t="shared" si="139"/>
        <v>1.0620904174259624</v>
      </c>
    </row>
    <row r="2227" spans="1:14" x14ac:dyDescent="0.35">
      <c r="A2227">
        <v>2225</v>
      </c>
      <c r="B2227" t="s">
        <v>27</v>
      </c>
      <c r="C2227" t="s">
        <v>78</v>
      </c>
      <c r="D2227">
        <v>0.5</v>
      </c>
      <c r="E2227">
        <v>0.5</v>
      </c>
      <c r="F2227">
        <v>298</v>
      </c>
      <c r="G2227">
        <v>3565</v>
      </c>
      <c r="H2227">
        <f t="shared" si="136"/>
        <v>-0.71025264846288438</v>
      </c>
      <c r="I2227">
        <v>0.49152000000000001</v>
      </c>
      <c r="J2227" t="str">
        <f t="shared" si="137"/>
        <v>CC1=CCC(CC1=O)C(=C)CCC1CCC(C(C1)O)C(C)C</v>
      </c>
      <c r="K2227">
        <v>19</v>
      </c>
      <c r="M2227">
        <f t="shared" si="138"/>
        <v>-1.1332927930344276</v>
      </c>
      <c r="N2227">
        <f t="shared" si="139"/>
        <v>1.3724938647705398</v>
      </c>
    </row>
    <row r="2228" spans="1:14" x14ac:dyDescent="0.35">
      <c r="A2228">
        <v>2226</v>
      </c>
      <c r="B2228" t="s">
        <v>27</v>
      </c>
      <c r="C2228" t="s">
        <v>78</v>
      </c>
      <c r="D2228">
        <v>0.5</v>
      </c>
      <c r="E2228">
        <v>0.5</v>
      </c>
      <c r="F2228">
        <v>298</v>
      </c>
      <c r="G2228">
        <v>3935</v>
      </c>
      <c r="H2228">
        <f t="shared" si="136"/>
        <v>-0.69573051449554912</v>
      </c>
      <c r="I2228">
        <v>0.49870999999999999</v>
      </c>
      <c r="J2228" t="str">
        <f t="shared" si="137"/>
        <v>CC1=CCC(CC1=O)C(=C)CCC1CCC(C(C1)O)C(C)C</v>
      </c>
      <c r="K2228">
        <v>19</v>
      </c>
      <c r="M2228">
        <f t="shared" si="138"/>
        <v>-1.1332927930344276</v>
      </c>
      <c r="N2228">
        <f t="shared" si="139"/>
        <v>1.5794294963335915</v>
      </c>
    </row>
    <row r="2229" spans="1:14" x14ac:dyDescent="0.35">
      <c r="A2229">
        <v>2227</v>
      </c>
      <c r="B2229" t="s">
        <v>27</v>
      </c>
      <c r="C2229" t="s">
        <v>78</v>
      </c>
      <c r="D2229">
        <v>0.5</v>
      </c>
      <c r="E2229">
        <v>0.5</v>
      </c>
      <c r="F2229">
        <v>308</v>
      </c>
      <c r="G2229">
        <v>450</v>
      </c>
      <c r="H2229">
        <f t="shared" si="136"/>
        <v>-3.125613194408511</v>
      </c>
      <c r="I2229">
        <v>4.3909999999999998E-2</v>
      </c>
      <c r="J2229" t="str">
        <f t="shared" si="137"/>
        <v>CC1=CCC(CC1=O)C(=C)CCC1CCC(C(C1)O)C(C)C</v>
      </c>
      <c r="K2229">
        <v>19</v>
      </c>
      <c r="M2229">
        <f t="shared" si="138"/>
        <v>-0.34957611648698239</v>
      </c>
      <c r="N2229">
        <f t="shared" si="139"/>
        <v>-0.36968043879407098</v>
      </c>
    </row>
    <row r="2230" spans="1:14" x14ac:dyDescent="0.35">
      <c r="A2230">
        <v>2228</v>
      </c>
      <c r="B2230" t="s">
        <v>27</v>
      </c>
      <c r="C2230" t="s">
        <v>78</v>
      </c>
      <c r="D2230">
        <v>0.5</v>
      </c>
      <c r="E2230">
        <v>0.5</v>
      </c>
      <c r="F2230">
        <v>308</v>
      </c>
      <c r="G2230">
        <v>1040</v>
      </c>
      <c r="H2230">
        <f t="shared" si="136"/>
        <v>-2.0178573803687012</v>
      </c>
      <c r="I2230">
        <v>0.13294</v>
      </c>
      <c r="J2230" t="str">
        <f t="shared" si="137"/>
        <v>CC1=CCC(CC1=O)C(=C)CCC1CCC(C(C1)O)C(C)C</v>
      </c>
      <c r="K2230">
        <v>19</v>
      </c>
      <c r="M2230">
        <f t="shared" si="138"/>
        <v>-0.34957611648698239</v>
      </c>
      <c r="N2230">
        <f t="shared" si="139"/>
        <v>-3.970199927461017E-2</v>
      </c>
    </row>
    <row r="2231" spans="1:14" x14ac:dyDescent="0.35">
      <c r="A2231">
        <v>2229</v>
      </c>
      <c r="B2231" t="s">
        <v>27</v>
      </c>
      <c r="C2231" t="s">
        <v>78</v>
      </c>
      <c r="D2231">
        <v>0.5</v>
      </c>
      <c r="E2231">
        <v>0.5</v>
      </c>
      <c r="F2231">
        <v>308</v>
      </c>
      <c r="G2231">
        <v>2000</v>
      </c>
      <c r="H2231">
        <f t="shared" si="136"/>
        <v>-1.2417785190618347</v>
      </c>
      <c r="I2231">
        <v>0.28887000000000002</v>
      </c>
      <c r="J2231" t="str">
        <f t="shared" si="137"/>
        <v>CC1=CCC(CC1=O)C(=C)CCC1CCC(C(C1)O)C(C)C</v>
      </c>
      <c r="K2231">
        <v>19</v>
      </c>
      <c r="M2231">
        <f t="shared" si="138"/>
        <v>-0.34957611648698239</v>
      </c>
      <c r="N2231">
        <f t="shared" si="139"/>
        <v>0.49721207180790233</v>
      </c>
    </row>
    <row r="2232" spans="1:14" x14ac:dyDescent="0.35">
      <c r="A2232">
        <v>2230</v>
      </c>
      <c r="B2232" t="s">
        <v>27</v>
      </c>
      <c r="C2232" t="s">
        <v>78</v>
      </c>
      <c r="D2232">
        <v>0.5</v>
      </c>
      <c r="E2232">
        <v>0.5</v>
      </c>
      <c r="F2232">
        <v>308</v>
      </c>
      <c r="G2232">
        <v>3015</v>
      </c>
      <c r="H2232">
        <f t="shared" si="136"/>
        <v>-0.9083225622249782</v>
      </c>
      <c r="I2232">
        <v>0.4032</v>
      </c>
      <c r="J2232" t="str">
        <f t="shared" si="137"/>
        <v>CC1=CCC(CC1=O)C(=C)CCC1CCC(C(C1)O)C(C)C</v>
      </c>
      <c r="K2232">
        <v>19</v>
      </c>
      <c r="M2232">
        <f t="shared" si="138"/>
        <v>-0.34957611648698239</v>
      </c>
      <c r="N2232">
        <f t="shared" si="139"/>
        <v>1.064886844879517</v>
      </c>
    </row>
    <row r="2233" spans="1:14" x14ac:dyDescent="0.35">
      <c r="A2233">
        <v>2231</v>
      </c>
      <c r="B2233" t="s">
        <v>27</v>
      </c>
      <c r="C2233" t="s">
        <v>78</v>
      </c>
      <c r="D2233">
        <v>0.5</v>
      </c>
      <c r="E2233">
        <v>0.5</v>
      </c>
      <c r="F2233">
        <v>308</v>
      </c>
      <c r="G2233">
        <v>3410</v>
      </c>
      <c r="H2233">
        <f t="shared" si="136"/>
        <v>-0.84445856168004385</v>
      </c>
      <c r="I2233">
        <v>0.42979000000000001</v>
      </c>
      <c r="J2233" t="str">
        <f t="shared" si="137"/>
        <v>CC1=CCC(CC1=O)C(=C)CCC1CCC(C(C1)O)C(C)C</v>
      </c>
      <c r="K2233">
        <v>19</v>
      </c>
      <c r="M2233">
        <f t="shared" si="138"/>
        <v>-0.34957611648698239</v>
      </c>
      <c r="N2233">
        <f t="shared" si="139"/>
        <v>1.2858046137103425</v>
      </c>
    </row>
    <row r="2234" spans="1:14" x14ac:dyDescent="0.35">
      <c r="A2234">
        <v>2232</v>
      </c>
      <c r="B2234" t="s">
        <v>27</v>
      </c>
      <c r="C2234" t="s">
        <v>78</v>
      </c>
      <c r="D2234">
        <v>0.5</v>
      </c>
      <c r="E2234">
        <v>0.5</v>
      </c>
      <c r="F2234">
        <v>308</v>
      </c>
      <c r="G2234">
        <v>3960</v>
      </c>
      <c r="H2234">
        <f t="shared" si="136"/>
        <v>-0.81991294035190243</v>
      </c>
      <c r="I2234">
        <v>0.44046999999999997</v>
      </c>
      <c r="J2234" t="str">
        <f t="shared" si="137"/>
        <v>CC1=CCC(CC1=O)C(=C)CCC1CCC(C(C1)O)C(C)C</v>
      </c>
      <c r="K2234">
        <v>19</v>
      </c>
      <c r="M2234">
        <f t="shared" si="138"/>
        <v>-0.34957611648698239</v>
      </c>
      <c r="N2234">
        <f t="shared" si="139"/>
        <v>1.5934116336013653</v>
      </c>
    </row>
    <row r="2235" spans="1:14" x14ac:dyDescent="0.35">
      <c r="A2235">
        <v>2233</v>
      </c>
      <c r="B2235" t="s">
        <v>27</v>
      </c>
      <c r="C2235" t="s">
        <v>79</v>
      </c>
      <c r="D2235">
        <v>0.5</v>
      </c>
      <c r="E2235">
        <v>0.5</v>
      </c>
      <c r="F2235">
        <v>298</v>
      </c>
      <c r="G2235">
        <v>450</v>
      </c>
      <c r="H2235">
        <f t="shared" si="136"/>
        <v>-3.4354783156390294</v>
      </c>
      <c r="I2235">
        <v>3.2210000000000003E-2</v>
      </c>
      <c r="J2235" t="str">
        <f t="shared" si="137"/>
        <v>CC1=CCC(CC1=O)C(=C)CCC1=CC(=C(C=C1)C(C)C)O</v>
      </c>
      <c r="K2235">
        <v>18</v>
      </c>
      <c r="M2235">
        <f t="shared" si="138"/>
        <v>-1.1332927930344276</v>
      </c>
      <c r="N2235">
        <f t="shared" si="139"/>
        <v>-0.36968043879407098</v>
      </c>
    </row>
    <row r="2236" spans="1:14" x14ac:dyDescent="0.35">
      <c r="A2236">
        <v>2234</v>
      </c>
      <c r="B2236" t="s">
        <v>27</v>
      </c>
      <c r="C2236" t="s">
        <v>79</v>
      </c>
      <c r="D2236">
        <v>0.5</v>
      </c>
      <c r="E2236">
        <v>0.5</v>
      </c>
      <c r="F2236">
        <v>298</v>
      </c>
      <c r="G2236">
        <v>1215</v>
      </c>
      <c r="H2236">
        <f t="shared" si="136"/>
        <v>-1.6169158022900594</v>
      </c>
      <c r="I2236">
        <v>0.19850999999999999</v>
      </c>
      <c r="J2236" t="str">
        <f t="shared" si="137"/>
        <v>CC1=CCC(CC1=O)C(=C)CCC1=CC(=C(C=C1)C(C)C)O</v>
      </c>
      <c r="K2236">
        <v>18</v>
      </c>
      <c r="M2236">
        <f t="shared" si="138"/>
        <v>-1.1332927930344276</v>
      </c>
      <c r="N2236">
        <f t="shared" si="139"/>
        <v>5.8172961599806172E-2</v>
      </c>
    </row>
    <row r="2237" spans="1:14" x14ac:dyDescent="0.35">
      <c r="A2237">
        <v>2235</v>
      </c>
      <c r="B2237" t="s">
        <v>27</v>
      </c>
      <c r="C2237" t="s">
        <v>79</v>
      </c>
      <c r="D2237">
        <v>0.5</v>
      </c>
      <c r="E2237">
        <v>0.5</v>
      </c>
      <c r="F2237">
        <v>298</v>
      </c>
      <c r="G2237">
        <v>1795</v>
      </c>
      <c r="H2237">
        <f t="shared" si="136"/>
        <v>-1.2625204179513487</v>
      </c>
      <c r="I2237">
        <v>0.28294000000000002</v>
      </c>
      <c r="J2237" t="str">
        <f t="shared" si="137"/>
        <v>CC1=CCC(CC1=O)C(=C)CCC1=CC(=C(C=C1)C(C)C)O</v>
      </c>
      <c r="K2237">
        <v>18</v>
      </c>
      <c r="M2237">
        <f t="shared" si="138"/>
        <v>-1.1332927930344276</v>
      </c>
      <c r="N2237">
        <f t="shared" si="139"/>
        <v>0.38255854621215746</v>
      </c>
    </row>
    <row r="2238" spans="1:14" x14ac:dyDescent="0.35">
      <c r="A2238">
        <v>2236</v>
      </c>
      <c r="B2238" t="s">
        <v>27</v>
      </c>
      <c r="C2238" t="s">
        <v>79</v>
      </c>
      <c r="D2238">
        <v>0.5</v>
      </c>
      <c r="E2238">
        <v>0.5</v>
      </c>
      <c r="F2238">
        <v>298</v>
      </c>
      <c r="G2238">
        <v>2395</v>
      </c>
      <c r="H2238">
        <f t="shared" si="136"/>
        <v>-1.0483945725074924</v>
      </c>
      <c r="I2238">
        <v>0.35049999999999998</v>
      </c>
      <c r="J2238" t="str">
        <f t="shared" si="137"/>
        <v>CC1=CCC(CC1=O)C(=C)CCC1=CC(=C(C=C1)C(C)C)O</v>
      </c>
      <c r="K2238">
        <v>18</v>
      </c>
      <c r="M2238">
        <f t="shared" si="138"/>
        <v>-1.1332927930344276</v>
      </c>
      <c r="N2238">
        <f t="shared" si="139"/>
        <v>0.71812984063872776</v>
      </c>
    </row>
    <row r="2239" spans="1:14" x14ac:dyDescent="0.35">
      <c r="A2239">
        <v>2237</v>
      </c>
      <c r="B2239" t="s">
        <v>27</v>
      </c>
      <c r="C2239" t="s">
        <v>79</v>
      </c>
      <c r="D2239">
        <v>0.5</v>
      </c>
      <c r="E2239">
        <v>0.5</v>
      </c>
      <c r="F2239">
        <v>298</v>
      </c>
      <c r="G2239">
        <v>3170</v>
      </c>
      <c r="H2239">
        <f t="shared" si="136"/>
        <v>-0.7881174181511722</v>
      </c>
      <c r="I2239">
        <v>0.45469999999999999</v>
      </c>
      <c r="J2239" t="str">
        <f t="shared" si="137"/>
        <v>CC1=CCC(CC1=O)C(=C)CCC1=CC(=C(C=C1)C(C)C)O</v>
      </c>
      <c r="K2239">
        <v>18</v>
      </c>
      <c r="M2239">
        <f t="shared" si="138"/>
        <v>-1.1332927930344276</v>
      </c>
      <c r="N2239">
        <f t="shared" si="139"/>
        <v>1.1515760959397146</v>
      </c>
    </row>
    <row r="2240" spans="1:14" x14ac:dyDescent="0.35">
      <c r="A2240">
        <v>2238</v>
      </c>
      <c r="B2240" t="s">
        <v>27</v>
      </c>
      <c r="C2240" t="s">
        <v>79</v>
      </c>
      <c r="D2240">
        <v>0.5</v>
      </c>
      <c r="E2240">
        <v>0.5</v>
      </c>
      <c r="F2240">
        <v>298</v>
      </c>
      <c r="G2240">
        <v>3483</v>
      </c>
      <c r="H2240">
        <f t="shared" si="136"/>
        <v>-0.74263158565885379</v>
      </c>
      <c r="I2240">
        <v>0.47586000000000001</v>
      </c>
      <c r="J2240" t="str">
        <f t="shared" si="137"/>
        <v>CC1=CCC(CC1=O)C(=C)CCC1=CC(=C(C=C1)C(C)C)O</v>
      </c>
      <c r="K2240">
        <v>18</v>
      </c>
      <c r="M2240">
        <f t="shared" si="138"/>
        <v>-1.1332927930344276</v>
      </c>
      <c r="N2240">
        <f t="shared" si="139"/>
        <v>1.3266324545322419</v>
      </c>
    </row>
    <row r="2241" spans="1:14" x14ac:dyDescent="0.35">
      <c r="A2241">
        <v>2239</v>
      </c>
      <c r="B2241" t="s">
        <v>27</v>
      </c>
      <c r="C2241" t="s">
        <v>79</v>
      </c>
      <c r="D2241">
        <v>0.5</v>
      </c>
      <c r="E2241">
        <v>0.5</v>
      </c>
      <c r="F2241">
        <v>308</v>
      </c>
      <c r="G2241">
        <v>450</v>
      </c>
      <c r="H2241">
        <f t="shared" si="136"/>
        <v>-3.5533001598721135</v>
      </c>
      <c r="I2241">
        <v>2.8629999999999999E-2</v>
      </c>
      <c r="J2241" t="str">
        <f t="shared" si="137"/>
        <v>CC1=CCC(CC1=O)C(=C)CCC1=CC(=C(C=C1)C(C)C)O</v>
      </c>
      <c r="K2241">
        <v>18</v>
      </c>
      <c r="M2241">
        <f t="shared" si="138"/>
        <v>-0.34957611648698239</v>
      </c>
      <c r="N2241">
        <f t="shared" si="139"/>
        <v>-0.36968043879407098</v>
      </c>
    </row>
    <row r="2242" spans="1:14" x14ac:dyDescent="0.35">
      <c r="A2242">
        <v>2240</v>
      </c>
      <c r="B2242" t="s">
        <v>27</v>
      </c>
      <c r="C2242" t="s">
        <v>79</v>
      </c>
      <c r="D2242">
        <v>0.5</v>
      </c>
      <c r="E2242">
        <v>0.5</v>
      </c>
      <c r="F2242">
        <v>308</v>
      </c>
      <c r="G2242">
        <v>1065</v>
      </c>
      <c r="H2242">
        <f t="shared" si="136"/>
        <v>-1.9161668978061155</v>
      </c>
      <c r="I2242">
        <v>0.14717</v>
      </c>
      <c r="J2242" t="str">
        <f t="shared" si="137"/>
        <v>CC1=CCC(CC1=O)C(=C)CCC1=CC(=C(C=C1)C(C)C)O</v>
      </c>
      <c r="K2242">
        <v>18</v>
      </c>
      <c r="M2242">
        <f t="shared" si="138"/>
        <v>-0.34957611648698239</v>
      </c>
      <c r="N2242">
        <f t="shared" si="139"/>
        <v>-2.5719862006836406E-2</v>
      </c>
    </row>
    <row r="2243" spans="1:14" x14ac:dyDescent="0.35">
      <c r="A2243">
        <v>2241</v>
      </c>
      <c r="B2243" t="s">
        <v>27</v>
      </c>
      <c r="C2243" t="s">
        <v>79</v>
      </c>
      <c r="D2243">
        <v>0.5</v>
      </c>
      <c r="E2243">
        <v>0.5</v>
      </c>
      <c r="F2243">
        <v>308</v>
      </c>
      <c r="G2243">
        <v>1880</v>
      </c>
      <c r="H2243">
        <f t="shared" ref="H2243:H2306" si="140">LN(I2243)</f>
        <v>-1.3844560518462505</v>
      </c>
      <c r="I2243">
        <v>0.25046000000000002</v>
      </c>
      <c r="J2243" t="str">
        <f t="shared" ref="J2243:J2306" si="141">_xlfn.CONCAT(B2243,C2243)</f>
        <v>CC1=CCC(CC1=O)C(=C)CCC1=CC(=C(C=C1)C(C)C)O</v>
      </c>
      <c r="K2243">
        <v>18</v>
      </c>
      <c r="M2243">
        <f t="shared" ref="M2243:M2306" si="142">(F2243-$L$3)/$L$2</f>
        <v>-0.34957611648698239</v>
      </c>
      <c r="N2243">
        <f t="shared" ref="N2243:N2306" si="143">(G2243-$L$6)/$L$5</f>
        <v>0.43009781292258825</v>
      </c>
    </row>
    <row r="2244" spans="1:14" x14ac:dyDescent="0.35">
      <c r="A2244">
        <v>2242</v>
      </c>
      <c r="B2244" t="s">
        <v>27</v>
      </c>
      <c r="C2244" t="s">
        <v>79</v>
      </c>
      <c r="D2244">
        <v>0.5</v>
      </c>
      <c r="E2244">
        <v>0.5</v>
      </c>
      <c r="F2244">
        <v>308</v>
      </c>
      <c r="G2244">
        <v>2020</v>
      </c>
      <c r="H2244">
        <f t="shared" si="140"/>
        <v>-1.2864128277103233</v>
      </c>
      <c r="I2244">
        <v>0.27626000000000001</v>
      </c>
      <c r="J2244" t="str">
        <f t="shared" si="141"/>
        <v>CC1=CCC(CC1=O)C(=C)CCC1=CC(=C(C=C1)C(C)C)O</v>
      </c>
      <c r="K2244">
        <v>18</v>
      </c>
      <c r="M2244">
        <f t="shared" si="142"/>
        <v>-0.34957611648698239</v>
      </c>
      <c r="N2244">
        <f t="shared" si="143"/>
        <v>0.50839778162212135</v>
      </c>
    </row>
    <row r="2245" spans="1:14" x14ac:dyDescent="0.35">
      <c r="A2245">
        <v>2243</v>
      </c>
      <c r="B2245" t="s">
        <v>27</v>
      </c>
      <c r="C2245" t="s">
        <v>79</v>
      </c>
      <c r="D2245">
        <v>0.5</v>
      </c>
      <c r="E2245">
        <v>0.5</v>
      </c>
      <c r="F2245">
        <v>308</v>
      </c>
      <c r="G2245">
        <v>2830</v>
      </c>
      <c r="H2245">
        <f t="shared" si="140"/>
        <v>-0.94945979326566887</v>
      </c>
      <c r="I2245">
        <v>0.38695000000000002</v>
      </c>
      <c r="J2245" t="str">
        <f t="shared" si="141"/>
        <v>CC1=CCC(CC1=O)C(=C)CCC1=CC(=C(C=C1)C(C)C)O</v>
      </c>
      <c r="K2245">
        <v>18</v>
      </c>
      <c r="M2245">
        <f t="shared" si="142"/>
        <v>-0.34957611648698239</v>
      </c>
      <c r="N2245">
        <f t="shared" si="143"/>
        <v>0.96141902909799126</v>
      </c>
    </row>
    <row r="2246" spans="1:14" x14ac:dyDescent="0.35">
      <c r="A2246">
        <v>2244</v>
      </c>
      <c r="B2246" t="s">
        <v>27</v>
      </c>
      <c r="C2246" t="s">
        <v>79</v>
      </c>
      <c r="D2246">
        <v>0.5</v>
      </c>
      <c r="E2246">
        <v>0.5</v>
      </c>
      <c r="F2246">
        <v>308</v>
      </c>
      <c r="G2246">
        <v>2975</v>
      </c>
      <c r="H2246">
        <f t="shared" si="140"/>
        <v>-0.90446098012057785</v>
      </c>
      <c r="I2246">
        <v>0.40476000000000001</v>
      </c>
      <c r="J2246" t="str">
        <f t="shared" si="141"/>
        <v>CC1=CCC(CC1=O)C(=C)CCC1=CC(=C(C=C1)C(C)C)O</v>
      </c>
      <c r="K2246">
        <v>18</v>
      </c>
      <c r="M2246">
        <f t="shared" si="142"/>
        <v>-0.34957611648698239</v>
      </c>
      <c r="N2246">
        <f t="shared" si="143"/>
        <v>1.0425154252510791</v>
      </c>
    </row>
    <row r="2247" spans="1:14" x14ac:dyDescent="0.35">
      <c r="A2247">
        <v>2245</v>
      </c>
      <c r="B2247" t="s">
        <v>27</v>
      </c>
      <c r="C2247" t="s">
        <v>79</v>
      </c>
      <c r="D2247">
        <v>0.5</v>
      </c>
      <c r="E2247">
        <v>0.5</v>
      </c>
      <c r="F2247">
        <v>308</v>
      </c>
      <c r="G2247">
        <v>3435</v>
      </c>
      <c r="H2247">
        <f t="shared" si="140"/>
        <v>-0.82268655191493056</v>
      </c>
      <c r="I2247">
        <v>0.43924999999999997</v>
      </c>
      <c r="J2247" t="str">
        <f t="shared" si="141"/>
        <v>CC1=CCC(CC1=O)C(=C)CCC1=CC(=C(C=C1)C(C)C)O</v>
      </c>
      <c r="K2247">
        <v>18</v>
      </c>
      <c r="M2247">
        <f t="shared" si="142"/>
        <v>-0.34957611648698239</v>
      </c>
      <c r="N2247">
        <f t="shared" si="143"/>
        <v>1.2997867509781162</v>
      </c>
    </row>
    <row r="2248" spans="1:14" x14ac:dyDescent="0.35">
      <c r="A2248">
        <v>2246</v>
      </c>
      <c r="B2248" t="s">
        <v>28</v>
      </c>
      <c r="C2248" t="s">
        <v>78</v>
      </c>
      <c r="D2248">
        <v>0.5</v>
      </c>
      <c r="E2248">
        <v>0.5</v>
      </c>
      <c r="F2248">
        <v>298</v>
      </c>
      <c r="G2248">
        <v>430</v>
      </c>
      <c r="H2248">
        <f t="shared" si="140"/>
        <v>-2.6999332330002623</v>
      </c>
      <c r="I2248">
        <v>6.7210000000000006E-2</v>
      </c>
      <c r="J2248" t="str">
        <f t="shared" si="141"/>
        <v>CC1(C2CCC(O1)(CC2)C)CCC1CCC(C(C1)O)C(C)C</v>
      </c>
      <c r="K2248">
        <v>15</v>
      </c>
      <c r="M2248">
        <f t="shared" si="142"/>
        <v>-1.1332927930344276</v>
      </c>
      <c r="N2248">
        <f t="shared" si="143"/>
        <v>-0.38086614860828999</v>
      </c>
    </row>
    <row r="2249" spans="1:14" x14ac:dyDescent="0.35">
      <c r="A2249">
        <v>2247</v>
      </c>
      <c r="B2249" t="s">
        <v>28</v>
      </c>
      <c r="C2249" t="s">
        <v>78</v>
      </c>
      <c r="D2249">
        <v>0.5</v>
      </c>
      <c r="E2249">
        <v>0.5</v>
      </c>
      <c r="F2249">
        <v>298</v>
      </c>
      <c r="G2249">
        <v>1085</v>
      </c>
      <c r="H2249">
        <f t="shared" si="140"/>
        <v>-1.670622065759098</v>
      </c>
      <c r="I2249">
        <v>0.18812999999999999</v>
      </c>
      <c r="J2249" t="str">
        <f t="shared" si="141"/>
        <v>CC1(C2CCC(O1)(CC2)C)CCC1CCC(C(C1)O)C(C)C</v>
      </c>
      <c r="K2249">
        <v>15</v>
      </c>
      <c r="M2249">
        <f t="shared" si="142"/>
        <v>-1.1332927930344276</v>
      </c>
      <c r="N2249">
        <f t="shared" si="143"/>
        <v>-1.4534152192617396E-2</v>
      </c>
    </row>
    <row r="2250" spans="1:14" x14ac:dyDescent="0.35">
      <c r="A2250">
        <v>2248</v>
      </c>
      <c r="B2250" t="s">
        <v>28</v>
      </c>
      <c r="C2250" t="s">
        <v>78</v>
      </c>
      <c r="D2250">
        <v>0.5</v>
      </c>
      <c r="E2250">
        <v>0.5</v>
      </c>
      <c r="F2250">
        <v>298</v>
      </c>
      <c r="G2250">
        <v>2015</v>
      </c>
      <c r="H2250">
        <f t="shared" si="140"/>
        <v>-1.099252493555533</v>
      </c>
      <c r="I2250">
        <v>0.33312000000000003</v>
      </c>
      <c r="J2250" t="str">
        <f t="shared" si="141"/>
        <v>CC1(C2CCC(O1)(CC2)C)CCC1CCC(C(C1)O)C(C)C</v>
      </c>
      <c r="K2250">
        <v>15</v>
      </c>
      <c r="M2250">
        <f t="shared" si="142"/>
        <v>-1.1332927930344276</v>
      </c>
      <c r="N2250">
        <f t="shared" si="143"/>
        <v>0.50560135416856655</v>
      </c>
    </row>
    <row r="2251" spans="1:14" x14ac:dyDescent="0.35">
      <c r="A2251">
        <v>2249</v>
      </c>
      <c r="B2251" t="s">
        <v>28</v>
      </c>
      <c r="C2251" t="s">
        <v>78</v>
      </c>
      <c r="D2251">
        <v>0.5</v>
      </c>
      <c r="E2251">
        <v>0.5</v>
      </c>
      <c r="F2251">
        <v>298</v>
      </c>
      <c r="G2251">
        <v>2895</v>
      </c>
      <c r="H2251">
        <f t="shared" si="140"/>
        <v>-0.79737500462183797</v>
      </c>
      <c r="I2251">
        <v>0.45051000000000002</v>
      </c>
      <c r="J2251" t="str">
        <f t="shared" si="141"/>
        <v>CC1(C2CCC(O1)(CC2)C)CCC1CCC(C(C1)O)C(C)C</v>
      </c>
      <c r="K2251">
        <v>15</v>
      </c>
      <c r="M2251">
        <f t="shared" si="142"/>
        <v>-1.1332927930344276</v>
      </c>
      <c r="N2251">
        <f t="shared" si="143"/>
        <v>0.99777258599420304</v>
      </c>
    </row>
    <row r="2252" spans="1:14" x14ac:dyDescent="0.35">
      <c r="A2252">
        <v>2250</v>
      </c>
      <c r="B2252" t="s">
        <v>28</v>
      </c>
      <c r="C2252" t="s">
        <v>78</v>
      </c>
      <c r="D2252">
        <v>0.5</v>
      </c>
      <c r="E2252">
        <v>0.5</v>
      </c>
      <c r="F2252">
        <v>298</v>
      </c>
      <c r="G2252">
        <v>3479</v>
      </c>
      <c r="H2252">
        <f t="shared" si="140"/>
        <v>-0.67817975343815895</v>
      </c>
      <c r="I2252">
        <v>0.50753999999999999</v>
      </c>
      <c r="J2252" t="str">
        <f t="shared" si="141"/>
        <v>CC1(C2CCC(O1)(CC2)C)CCC1CCC(C(C1)O)C(C)C</v>
      </c>
      <c r="K2252">
        <v>15</v>
      </c>
      <c r="M2252">
        <f t="shared" si="142"/>
        <v>-1.1332927930344276</v>
      </c>
      <c r="N2252">
        <f t="shared" si="143"/>
        <v>1.3243953125693981</v>
      </c>
    </row>
    <row r="2253" spans="1:14" x14ac:dyDescent="0.35">
      <c r="A2253">
        <v>2251</v>
      </c>
      <c r="B2253" t="s">
        <v>28</v>
      </c>
      <c r="C2253" t="s">
        <v>78</v>
      </c>
      <c r="D2253">
        <v>0.5</v>
      </c>
      <c r="E2253">
        <v>0.5</v>
      </c>
      <c r="F2253">
        <v>308</v>
      </c>
      <c r="G2253">
        <v>450</v>
      </c>
      <c r="H2253">
        <f t="shared" si="140"/>
        <v>-3.496277587912425</v>
      </c>
      <c r="I2253">
        <v>3.031E-2</v>
      </c>
      <c r="J2253" t="str">
        <f t="shared" si="141"/>
        <v>CC1(C2CCC(O1)(CC2)C)CCC1CCC(C(C1)O)C(C)C</v>
      </c>
      <c r="K2253">
        <v>15</v>
      </c>
      <c r="M2253">
        <f t="shared" si="142"/>
        <v>-0.34957611648698239</v>
      </c>
      <c r="N2253">
        <f t="shared" si="143"/>
        <v>-0.36968043879407098</v>
      </c>
    </row>
    <row r="2254" spans="1:14" x14ac:dyDescent="0.35">
      <c r="A2254">
        <v>2252</v>
      </c>
      <c r="B2254" t="s">
        <v>28</v>
      </c>
      <c r="C2254" t="s">
        <v>78</v>
      </c>
      <c r="D2254">
        <v>0.5</v>
      </c>
      <c r="E2254">
        <v>0.5</v>
      </c>
      <c r="F2254">
        <v>308</v>
      </c>
      <c r="G2254">
        <v>980</v>
      </c>
      <c r="H2254">
        <f t="shared" si="140"/>
        <v>-1.8604024019507186</v>
      </c>
      <c r="I2254">
        <v>0.15561</v>
      </c>
      <c r="J2254" t="str">
        <f t="shared" si="141"/>
        <v>CC1(C2CCC(O1)(CC2)C)CCC1CCC(C(C1)O)C(C)C</v>
      </c>
      <c r="K2254">
        <v>15</v>
      </c>
      <c r="M2254">
        <f t="shared" si="142"/>
        <v>-0.34957611648698239</v>
      </c>
      <c r="N2254">
        <f t="shared" si="143"/>
        <v>-7.3259128717267197E-2</v>
      </c>
    </row>
    <row r="2255" spans="1:14" x14ac:dyDescent="0.35">
      <c r="A2255">
        <v>2253</v>
      </c>
      <c r="B2255" t="s">
        <v>28</v>
      </c>
      <c r="C2255" t="s">
        <v>78</v>
      </c>
      <c r="D2255">
        <v>0.5</v>
      </c>
      <c r="E2255">
        <v>0.5</v>
      </c>
      <c r="F2255">
        <v>308</v>
      </c>
      <c r="G2255">
        <v>1855</v>
      </c>
      <c r="H2255">
        <f t="shared" si="140"/>
        <v>-1.2973681519254892</v>
      </c>
      <c r="I2255">
        <v>0.27324999999999999</v>
      </c>
      <c r="J2255" t="str">
        <f t="shared" si="141"/>
        <v>CC1(C2CCC(O1)(CC2)C)CCC1CCC(C(C1)O)C(C)C</v>
      </c>
      <c r="K2255">
        <v>15</v>
      </c>
      <c r="M2255">
        <f t="shared" si="142"/>
        <v>-0.34957611648698239</v>
      </c>
      <c r="N2255">
        <f t="shared" si="143"/>
        <v>0.4161156756548145</v>
      </c>
    </row>
    <row r="2256" spans="1:14" x14ac:dyDescent="0.35">
      <c r="A2256">
        <v>2254</v>
      </c>
      <c r="B2256" t="s">
        <v>28</v>
      </c>
      <c r="C2256" t="s">
        <v>78</v>
      </c>
      <c r="D2256">
        <v>0.5</v>
      </c>
      <c r="E2256">
        <v>0.5</v>
      </c>
      <c r="F2256">
        <v>308</v>
      </c>
      <c r="G2256">
        <v>2685</v>
      </c>
      <c r="H2256">
        <f t="shared" si="140"/>
        <v>-0.94409881751472646</v>
      </c>
      <c r="I2256">
        <v>0.38902999999999999</v>
      </c>
      <c r="J2256" t="str">
        <f t="shared" si="141"/>
        <v>CC1(C2CCC(O1)(CC2)C)CCC1CCC(C(C1)O)C(C)C</v>
      </c>
      <c r="K2256">
        <v>15</v>
      </c>
      <c r="M2256">
        <f t="shared" si="142"/>
        <v>-0.34957611648698239</v>
      </c>
      <c r="N2256">
        <f t="shared" si="143"/>
        <v>0.88032263294490343</v>
      </c>
    </row>
    <row r="2257" spans="1:14" x14ac:dyDescent="0.35">
      <c r="A2257">
        <v>2255</v>
      </c>
      <c r="B2257" t="s">
        <v>28</v>
      </c>
      <c r="C2257" t="s">
        <v>78</v>
      </c>
      <c r="D2257">
        <v>0.5</v>
      </c>
      <c r="E2257">
        <v>0.5</v>
      </c>
      <c r="F2257">
        <v>308</v>
      </c>
      <c r="G2257">
        <v>3470</v>
      </c>
      <c r="H2257">
        <f t="shared" si="140"/>
        <v>-0.72455529171962552</v>
      </c>
      <c r="I2257">
        <v>0.48454000000000003</v>
      </c>
      <c r="J2257" t="str">
        <f t="shared" si="141"/>
        <v>CC1(C2CCC(O1)(CC2)C)CCC1CCC(C(C1)O)C(C)C</v>
      </c>
      <c r="K2257">
        <v>15</v>
      </c>
      <c r="M2257">
        <f t="shared" si="142"/>
        <v>-0.34957611648698239</v>
      </c>
      <c r="N2257">
        <f t="shared" si="143"/>
        <v>1.3193617431529996</v>
      </c>
    </row>
    <row r="2258" spans="1:14" x14ac:dyDescent="0.35">
      <c r="A2258">
        <v>2256</v>
      </c>
      <c r="B2258" t="s">
        <v>28</v>
      </c>
      <c r="C2258" t="s">
        <v>79</v>
      </c>
      <c r="D2258">
        <v>0.5</v>
      </c>
      <c r="E2258">
        <v>0.5</v>
      </c>
      <c r="F2258">
        <v>298</v>
      </c>
      <c r="G2258">
        <v>457</v>
      </c>
      <c r="H2258">
        <f t="shared" si="140"/>
        <v>-3.3846352933631771</v>
      </c>
      <c r="I2258">
        <v>3.3890000000000003E-2</v>
      </c>
      <c r="J2258" t="str">
        <f t="shared" si="141"/>
        <v>CC1(C2CCC(O1)(CC2)C)CCC1=CC(=C(C=C1)C(C)C)O</v>
      </c>
      <c r="K2258">
        <v>14</v>
      </c>
      <c r="M2258">
        <f t="shared" si="142"/>
        <v>-1.1332927930344276</v>
      </c>
      <c r="N2258">
        <f t="shared" si="143"/>
        <v>-0.36576544035909431</v>
      </c>
    </row>
    <row r="2259" spans="1:14" x14ac:dyDescent="0.35">
      <c r="A2259">
        <v>2257</v>
      </c>
      <c r="B2259" t="s">
        <v>28</v>
      </c>
      <c r="C2259" t="s">
        <v>79</v>
      </c>
      <c r="D2259">
        <v>0.5</v>
      </c>
      <c r="E2259">
        <v>0.5</v>
      </c>
      <c r="F2259">
        <v>298</v>
      </c>
      <c r="G2259">
        <v>1160</v>
      </c>
      <c r="H2259">
        <f t="shared" si="140"/>
        <v>-1.7062792638836559</v>
      </c>
      <c r="I2259">
        <v>0.18154000000000001</v>
      </c>
      <c r="J2259" t="str">
        <f t="shared" si="141"/>
        <v>CC1(C2CCC(O1)(CC2)C)CCC1=CC(=C(C=C1)C(C)C)O</v>
      </c>
      <c r="K2259">
        <v>14</v>
      </c>
      <c r="M2259">
        <f t="shared" si="142"/>
        <v>-1.1332927930344276</v>
      </c>
      <c r="N2259">
        <f t="shared" si="143"/>
        <v>2.7412259610703895E-2</v>
      </c>
    </row>
    <row r="2260" spans="1:14" x14ac:dyDescent="0.35">
      <c r="A2260">
        <v>2258</v>
      </c>
      <c r="B2260" t="s">
        <v>28</v>
      </c>
      <c r="C2260" t="s">
        <v>79</v>
      </c>
      <c r="D2260">
        <v>0.5</v>
      </c>
      <c r="E2260">
        <v>0.5</v>
      </c>
      <c r="F2260">
        <v>298</v>
      </c>
      <c r="G2260">
        <v>2135</v>
      </c>
      <c r="H2260">
        <f t="shared" si="140"/>
        <v>-1.089008552525415</v>
      </c>
      <c r="I2260">
        <v>0.33655000000000002</v>
      </c>
      <c r="J2260" t="str">
        <f t="shared" si="141"/>
        <v>CC1(C2CCC(O1)(CC2)C)CCC1=CC(=C(C=C1)C(C)C)O</v>
      </c>
      <c r="K2260">
        <v>14</v>
      </c>
      <c r="M2260">
        <f t="shared" si="142"/>
        <v>-1.1332927930344276</v>
      </c>
      <c r="N2260">
        <f t="shared" si="143"/>
        <v>0.57271561305388063</v>
      </c>
    </row>
    <row r="2261" spans="1:14" x14ac:dyDescent="0.35">
      <c r="A2261">
        <v>2259</v>
      </c>
      <c r="B2261" t="s">
        <v>28</v>
      </c>
      <c r="C2261" t="s">
        <v>79</v>
      </c>
      <c r="D2261">
        <v>0.5</v>
      </c>
      <c r="E2261">
        <v>0.5</v>
      </c>
      <c r="F2261">
        <v>298</v>
      </c>
      <c r="G2261">
        <v>3095</v>
      </c>
      <c r="H2261">
        <f t="shared" si="140"/>
        <v>-0.74718106905243098</v>
      </c>
      <c r="I2261">
        <v>0.47370000000000001</v>
      </c>
      <c r="J2261" t="str">
        <f t="shared" si="141"/>
        <v>CC1(C2CCC(O1)(CC2)C)CCC1=CC(=C(C=C1)C(C)C)O</v>
      </c>
      <c r="K2261">
        <v>14</v>
      </c>
      <c r="M2261">
        <f t="shared" si="142"/>
        <v>-1.1332927930344276</v>
      </c>
      <c r="N2261">
        <f t="shared" si="143"/>
        <v>1.1096296841363931</v>
      </c>
    </row>
    <row r="2262" spans="1:14" x14ac:dyDescent="0.35">
      <c r="A2262">
        <v>2260</v>
      </c>
      <c r="B2262" t="s">
        <v>28</v>
      </c>
      <c r="C2262" t="s">
        <v>79</v>
      </c>
      <c r="D2262">
        <v>0.5</v>
      </c>
      <c r="E2262">
        <v>0.5</v>
      </c>
      <c r="F2262">
        <v>298</v>
      </c>
      <c r="G2262">
        <v>3435</v>
      </c>
      <c r="H2262">
        <f t="shared" si="140"/>
        <v>-0.69450810619928682</v>
      </c>
      <c r="I2262">
        <v>0.49931999999999999</v>
      </c>
      <c r="J2262" t="str">
        <f t="shared" si="141"/>
        <v>CC1(C2CCC(O1)(CC2)C)CCC1=CC(=C(C=C1)C(C)C)O</v>
      </c>
      <c r="K2262">
        <v>14</v>
      </c>
      <c r="M2262">
        <f t="shared" si="142"/>
        <v>-1.1332927930344276</v>
      </c>
      <c r="N2262">
        <f t="shared" si="143"/>
        <v>1.2997867509781162</v>
      </c>
    </row>
    <row r="2263" spans="1:14" x14ac:dyDescent="0.35">
      <c r="A2263">
        <v>2261</v>
      </c>
      <c r="B2263" t="s">
        <v>28</v>
      </c>
      <c r="C2263" t="s">
        <v>79</v>
      </c>
      <c r="D2263">
        <v>0.5</v>
      </c>
      <c r="E2263">
        <v>0.5</v>
      </c>
      <c r="F2263">
        <v>308</v>
      </c>
      <c r="G2263">
        <v>450</v>
      </c>
      <c r="H2263">
        <f t="shared" si="140"/>
        <v>-3.5425305577787993</v>
      </c>
      <c r="I2263">
        <v>2.894E-2</v>
      </c>
      <c r="J2263" t="str">
        <f t="shared" si="141"/>
        <v>CC1(C2CCC(O1)(CC2)C)CCC1=CC(=C(C=C1)C(C)C)O</v>
      </c>
      <c r="K2263">
        <v>14</v>
      </c>
      <c r="M2263">
        <f t="shared" si="142"/>
        <v>-0.34957611648698239</v>
      </c>
      <c r="N2263">
        <f t="shared" si="143"/>
        <v>-0.36968043879407098</v>
      </c>
    </row>
    <row r="2264" spans="1:14" x14ac:dyDescent="0.35">
      <c r="A2264">
        <v>2262</v>
      </c>
      <c r="B2264" t="s">
        <v>28</v>
      </c>
      <c r="C2264" t="s">
        <v>79</v>
      </c>
      <c r="D2264">
        <v>0.5</v>
      </c>
      <c r="E2264">
        <v>0.5</v>
      </c>
      <c r="F2264">
        <v>308</v>
      </c>
      <c r="G2264">
        <v>1015</v>
      </c>
      <c r="H2264">
        <f t="shared" si="140"/>
        <v>-1.9131138746402307</v>
      </c>
      <c r="I2264">
        <v>0.14762</v>
      </c>
      <c r="J2264" t="str">
        <f t="shared" si="141"/>
        <v>CC1(C2CCC(O1)(CC2)C)CCC1=CC(=C(C=C1)C(C)C)O</v>
      </c>
      <c r="K2264">
        <v>14</v>
      </c>
      <c r="M2264">
        <f t="shared" si="142"/>
        <v>-0.34957611648698239</v>
      </c>
      <c r="N2264">
        <f t="shared" si="143"/>
        <v>-5.368413654238393E-2</v>
      </c>
    </row>
    <row r="2265" spans="1:14" x14ac:dyDescent="0.35">
      <c r="A2265">
        <v>2263</v>
      </c>
      <c r="B2265" t="s">
        <v>28</v>
      </c>
      <c r="C2265" t="s">
        <v>79</v>
      </c>
      <c r="D2265">
        <v>0.5</v>
      </c>
      <c r="E2265">
        <v>0.5</v>
      </c>
      <c r="F2265">
        <v>308</v>
      </c>
      <c r="G2265">
        <v>1925</v>
      </c>
      <c r="H2265">
        <f t="shared" si="140"/>
        <v>-1.2660255287289459</v>
      </c>
      <c r="I2265">
        <v>0.28194999999999998</v>
      </c>
      <c r="J2265" t="str">
        <f t="shared" si="141"/>
        <v>CC1(C2CCC(O1)(CC2)C)CCC1=CC(=C(C=C1)C(C)C)O</v>
      </c>
      <c r="K2265">
        <v>14</v>
      </c>
      <c r="M2265">
        <f t="shared" si="142"/>
        <v>-0.34957611648698239</v>
      </c>
      <c r="N2265">
        <f t="shared" si="143"/>
        <v>0.45526566000458102</v>
      </c>
    </row>
    <row r="2266" spans="1:14" x14ac:dyDescent="0.35">
      <c r="A2266">
        <v>2264</v>
      </c>
      <c r="B2266" t="s">
        <v>28</v>
      </c>
      <c r="C2266" t="s">
        <v>79</v>
      </c>
      <c r="D2266">
        <v>0.5</v>
      </c>
      <c r="E2266">
        <v>0.5</v>
      </c>
      <c r="F2266">
        <v>308</v>
      </c>
      <c r="G2266">
        <v>2935</v>
      </c>
      <c r="H2266">
        <f t="shared" si="140"/>
        <v>-0.91854326692744881</v>
      </c>
      <c r="I2266">
        <v>0.39910000000000001</v>
      </c>
      <c r="J2266" t="str">
        <f t="shared" si="141"/>
        <v>CC1(C2CCC(O1)(CC2)C)CCC1=CC(=C(C=C1)C(C)C)O</v>
      </c>
      <c r="K2266">
        <v>14</v>
      </c>
      <c r="M2266">
        <f t="shared" si="142"/>
        <v>-0.34957611648698239</v>
      </c>
      <c r="N2266">
        <f t="shared" si="143"/>
        <v>1.0201440056226412</v>
      </c>
    </row>
    <row r="2267" spans="1:14" x14ac:dyDescent="0.35">
      <c r="A2267">
        <v>2265</v>
      </c>
      <c r="B2267" t="s">
        <v>28</v>
      </c>
      <c r="C2267" t="s">
        <v>79</v>
      </c>
      <c r="D2267">
        <v>0.5</v>
      </c>
      <c r="E2267">
        <v>0.5</v>
      </c>
      <c r="F2267">
        <v>308</v>
      </c>
      <c r="G2267">
        <v>3430</v>
      </c>
      <c r="H2267">
        <f t="shared" si="140"/>
        <v>-0.8110977302460205</v>
      </c>
      <c r="I2267">
        <v>0.44436999999999999</v>
      </c>
      <c r="J2267" t="str">
        <f t="shared" si="141"/>
        <v>CC1(C2CCC(O1)(CC2)C)CCC1=CC(=C(C=C1)C(C)C)O</v>
      </c>
      <c r="K2267">
        <v>14</v>
      </c>
      <c r="M2267">
        <f t="shared" si="142"/>
        <v>-0.34957611648698239</v>
      </c>
      <c r="N2267">
        <f t="shared" si="143"/>
        <v>1.2969903235245617</v>
      </c>
    </row>
    <row r="2268" spans="1:14" x14ac:dyDescent="0.35">
      <c r="A2268">
        <v>2266</v>
      </c>
      <c r="B2268" t="s">
        <v>34</v>
      </c>
      <c r="C2268" t="s">
        <v>52</v>
      </c>
      <c r="D2268">
        <v>0.25</v>
      </c>
      <c r="E2268">
        <v>0.75</v>
      </c>
      <c r="F2268">
        <v>298.14999999999998</v>
      </c>
      <c r="G2268">
        <v>92</v>
      </c>
      <c r="H2268">
        <f t="shared" si="140"/>
        <v>-5.4103668703566594</v>
      </c>
      <c r="I2268">
        <v>4.47E-3</v>
      </c>
      <c r="J2268" t="str">
        <f t="shared" si="141"/>
        <v>COC1=C(C=CC(=C1)C=O)OCC1=CC(=O)CC(C1=O)(C)C</v>
      </c>
      <c r="K2268">
        <v>64</v>
      </c>
      <c r="M2268">
        <f t="shared" si="142"/>
        <v>-1.1215370428862177</v>
      </c>
      <c r="N2268">
        <f t="shared" si="143"/>
        <v>-0.56990464446859124</v>
      </c>
    </row>
    <row r="2269" spans="1:14" x14ac:dyDescent="0.35">
      <c r="A2269">
        <v>2267</v>
      </c>
      <c r="B2269" t="s">
        <v>34</v>
      </c>
      <c r="C2269" t="s">
        <v>52</v>
      </c>
      <c r="D2269">
        <v>0.25</v>
      </c>
      <c r="E2269">
        <v>0.75</v>
      </c>
      <c r="F2269">
        <v>298.14999999999998</v>
      </c>
      <c r="G2269">
        <v>292</v>
      </c>
      <c r="H2269">
        <f t="shared" si="140"/>
        <v>-4.2889006566843983</v>
      </c>
      <c r="I2269">
        <v>1.372E-2</v>
      </c>
      <c r="J2269" t="str">
        <f t="shared" si="141"/>
        <v>COC1=C(C=CC(=C1)C=O)OCC1=CC(=O)CC(C1=O)(C)C</v>
      </c>
      <c r="K2269">
        <v>64</v>
      </c>
      <c r="M2269">
        <f t="shared" si="142"/>
        <v>-1.1215370428862177</v>
      </c>
      <c r="N2269">
        <f t="shared" si="143"/>
        <v>-0.45804754632640116</v>
      </c>
    </row>
    <row r="2270" spans="1:14" x14ac:dyDescent="0.35">
      <c r="A2270">
        <v>2268</v>
      </c>
      <c r="B2270" t="s">
        <v>34</v>
      </c>
      <c r="C2270" t="s">
        <v>52</v>
      </c>
      <c r="D2270">
        <v>0.25</v>
      </c>
      <c r="E2270">
        <v>0.75</v>
      </c>
      <c r="F2270">
        <v>298.14999999999998</v>
      </c>
      <c r="G2270">
        <v>492</v>
      </c>
      <c r="H2270">
        <f t="shared" si="140"/>
        <v>-3.7674898546958477</v>
      </c>
      <c r="I2270">
        <v>2.3109999999999999E-2</v>
      </c>
      <c r="J2270" t="str">
        <f t="shared" si="141"/>
        <v>COC1=C(C=CC(=C1)C=O)OCC1=CC(=O)CC(C1=O)(C)C</v>
      </c>
      <c r="K2270">
        <v>64</v>
      </c>
      <c r="M2270">
        <f t="shared" si="142"/>
        <v>-1.1215370428862177</v>
      </c>
      <c r="N2270">
        <f t="shared" si="143"/>
        <v>-0.34619044818421107</v>
      </c>
    </row>
    <row r="2271" spans="1:14" x14ac:dyDescent="0.35">
      <c r="A2271">
        <v>2269</v>
      </c>
      <c r="B2271" t="s">
        <v>34</v>
      </c>
      <c r="C2271" t="s">
        <v>52</v>
      </c>
      <c r="D2271">
        <v>0.25</v>
      </c>
      <c r="E2271">
        <v>0.75</v>
      </c>
      <c r="F2271">
        <v>298.14999999999998</v>
      </c>
      <c r="G2271">
        <v>692</v>
      </c>
      <c r="H2271">
        <f t="shared" si="140"/>
        <v>-3.419463190469048</v>
      </c>
      <c r="I2271">
        <v>3.2730000000000002E-2</v>
      </c>
      <c r="J2271" t="str">
        <f t="shared" si="141"/>
        <v>COC1=C(C=CC(=C1)C=O)OCC1=CC(=O)CC(C1=O)(C)C</v>
      </c>
      <c r="K2271">
        <v>64</v>
      </c>
      <c r="M2271">
        <f t="shared" si="142"/>
        <v>-1.1215370428862177</v>
      </c>
      <c r="N2271">
        <f t="shared" si="143"/>
        <v>-0.23433335004202097</v>
      </c>
    </row>
    <row r="2272" spans="1:14" x14ac:dyDescent="0.35">
      <c r="A2272">
        <v>2270</v>
      </c>
      <c r="B2272" t="s">
        <v>34</v>
      </c>
      <c r="C2272" t="s">
        <v>52</v>
      </c>
      <c r="D2272">
        <v>0.25</v>
      </c>
      <c r="E2272">
        <v>0.75</v>
      </c>
      <c r="F2272">
        <v>298.14999999999998</v>
      </c>
      <c r="G2272">
        <v>892</v>
      </c>
      <c r="H2272">
        <f t="shared" si="140"/>
        <v>-3.160606916744225</v>
      </c>
      <c r="I2272">
        <v>4.24E-2</v>
      </c>
      <c r="J2272" t="str">
        <f t="shared" si="141"/>
        <v>COC1=C(C=CC(=C1)C=O)OCC1=CC(=O)CC(C1=O)(C)C</v>
      </c>
      <c r="K2272">
        <v>64</v>
      </c>
      <c r="M2272">
        <f t="shared" si="142"/>
        <v>-1.1215370428862177</v>
      </c>
      <c r="N2272">
        <f t="shared" si="143"/>
        <v>-0.12247625189983084</v>
      </c>
    </row>
    <row r="2273" spans="1:14" x14ac:dyDescent="0.35">
      <c r="A2273">
        <v>2271</v>
      </c>
      <c r="B2273" t="s">
        <v>34</v>
      </c>
      <c r="C2273" t="s">
        <v>52</v>
      </c>
      <c r="D2273">
        <v>0.25</v>
      </c>
      <c r="E2273">
        <v>0.75</v>
      </c>
      <c r="F2273">
        <v>298.14999999999998</v>
      </c>
      <c r="G2273">
        <v>1092</v>
      </c>
      <c r="H2273">
        <f t="shared" si="140"/>
        <v>-2.9520982365339297</v>
      </c>
      <c r="I2273">
        <v>5.2229999999999999E-2</v>
      </c>
      <c r="J2273" t="str">
        <f t="shared" si="141"/>
        <v>COC1=C(C=CC(=C1)C=O)OCC1=CC(=O)CC(C1=O)(C)C</v>
      </c>
      <c r="K2273">
        <v>64</v>
      </c>
      <c r="M2273">
        <f t="shared" si="142"/>
        <v>-1.1215370428862177</v>
      </c>
      <c r="N2273">
        <f t="shared" si="143"/>
        <v>-1.0619153757640743E-2</v>
      </c>
    </row>
    <row r="2274" spans="1:14" x14ac:dyDescent="0.35">
      <c r="A2274">
        <v>2272</v>
      </c>
      <c r="B2274" t="s">
        <v>34</v>
      </c>
      <c r="C2274" t="s">
        <v>52</v>
      </c>
      <c r="D2274">
        <v>0.25</v>
      </c>
      <c r="E2274">
        <v>0.75</v>
      </c>
      <c r="F2274">
        <v>298.14999999999998</v>
      </c>
      <c r="G2274">
        <v>1392</v>
      </c>
      <c r="H2274">
        <f t="shared" si="140"/>
        <v>-2.7003796947979901</v>
      </c>
      <c r="I2274">
        <v>6.7180000000000004E-2</v>
      </c>
      <c r="J2274" t="str">
        <f t="shared" si="141"/>
        <v>COC1=C(C=CC(=C1)C=O)OCC1=CC(=O)CC(C1=O)(C)C</v>
      </c>
      <c r="K2274">
        <v>64</v>
      </c>
      <c r="M2274">
        <f t="shared" si="142"/>
        <v>-1.1215370428862177</v>
      </c>
      <c r="N2274">
        <f t="shared" si="143"/>
        <v>0.1571664934556444</v>
      </c>
    </row>
    <row r="2275" spans="1:14" x14ac:dyDescent="0.35">
      <c r="A2275">
        <v>2273</v>
      </c>
      <c r="B2275" t="s">
        <v>34</v>
      </c>
      <c r="C2275" t="s">
        <v>52</v>
      </c>
      <c r="D2275">
        <v>0.25</v>
      </c>
      <c r="E2275">
        <v>0.75</v>
      </c>
      <c r="F2275">
        <v>298.14999999999998</v>
      </c>
      <c r="G2275">
        <v>1692</v>
      </c>
      <c r="H2275">
        <f t="shared" si="140"/>
        <v>-2.4932614541707538</v>
      </c>
      <c r="I2275">
        <v>8.2640000000000005E-2</v>
      </c>
      <c r="J2275" t="str">
        <f t="shared" si="141"/>
        <v>COC1=C(C=CC(=C1)C=O)OCC1=CC(=O)CC(C1=O)(C)C</v>
      </c>
      <c r="K2275">
        <v>64</v>
      </c>
      <c r="M2275">
        <f t="shared" si="142"/>
        <v>-1.1215370428862177</v>
      </c>
      <c r="N2275">
        <f t="shared" si="143"/>
        <v>0.32495214066892958</v>
      </c>
    </row>
    <row r="2276" spans="1:14" x14ac:dyDescent="0.35">
      <c r="A2276">
        <v>2274</v>
      </c>
      <c r="B2276" t="s">
        <v>34</v>
      </c>
      <c r="C2276" t="s">
        <v>52</v>
      </c>
      <c r="D2276">
        <v>0.25</v>
      </c>
      <c r="E2276">
        <v>0.75</v>
      </c>
      <c r="F2276">
        <v>298.14999999999998</v>
      </c>
      <c r="G2276">
        <v>1992</v>
      </c>
      <c r="H2276">
        <f t="shared" si="140"/>
        <v>-2.3168868777049054</v>
      </c>
      <c r="I2276">
        <v>9.8580000000000001E-2</v>
      </c>
      <c r="J2276" t="str">
        <f t="shared" si="141"/>
        <v>COC1=C(C=CC(=C1)C=O)OCC1=CC(=O)CC(C1=O)(C)C</v>
      </c>
      <c r="K2276">
        <v>64</v>
      </c>
      <c r="M2276">
        <f t="shared" si="142"/>
        <v>-1.1215370428862177</v>
      </c>
      <c r="N2276">
        <f t="shared" si="143"/>
        <v>0.49273778788221473</v>
      </c>
    </row>
    <row r="2277" spans="1:14" x14ac:dyDescent="0.35">
      <c r="A2277">
        <v>2275</v>
      </c>
      <c r="B2277" t="s">
        <v>34</v>
      </c>
      <c r="C2277" t="s">
        <v>52</v>
      </c>
      <c r="D2277">
        <v>0.25</v>
      </c>
      <c r="E2277">
        <v>0.75</v>
      </c>
      <c r="F2277">
        <v>313.14999999999998</v>
      </c>
      <c r="G2277">
        <v>92</v>
      </c>
      <c r="H2277">
        <f t="shared" si="140"/>
        <v>-5.7763531674910364</v>
      </c>
      <c r="I2277">
        <v>3.0999999999999999E-3</v>
      </c>
      <c r="J2277" t="str">
        <f t="shared" si="141"/>
        <v>COC1=C(C=CC(=C1)C=O)OCC1=CC(=O)CC(C1=O)(C)C</v>
      </c>
      <c r="K2277">
        <v>64</v>
      </c>
      <c r="M2277">
        <f t="shared" si="142"/>
        <v>5.4037971934950142E-2</v>
      </c>
      <c r="N2277">
        <f t="shared" si="143"/>
        <v>-0.56990464446859124</v>
      </c>
    </row>
    <row r="2278" spans="1:14" x14ac:dyDescent="0.35">
      <c r="A2278">
        <v>2276</v>
      </c>
      <c r="B2278" t="s">
        <v>34</v>
      </c>
      <c r="C2278" t="s">
        <v>52</v>
      </c>
      <c r="D2278">
        <v>0.25</v>
      </c>
      <c r="E2278">
        <v>0.75</v>
      </c>
      <c r="F2278">
        <v>313.14999999999998</v>
      </c>
      <c r="G2278">
        <v>292</v>
      </c>
      <c r="H2278">
        <f t="shared" si="140"/>
        <v>-4.5853675586919111</v>
      </c>
      <c r="I2278">
        <v>1.0200000000000001E-2</v>
      </c>
      <c r="J2278" t="str">
        <f t="shared" si="141"/>
        <v>COC1=C(C=CC(=C1)C=O)OCC1=CC(=O)CC(C1=O)(C)C</v>
      </c>
      <c r="K2278">
        <v>64</v>
      </c>
      <c r="M2278">
        <f t="shared" si="142"/>
        <v>5.4037971934950142E-2</v>
      </c>
      <c r="N2278">
        <f t="shared" si="143"/>
        <v>-0.45804754632640116</v>
      </c>
    </row>
    <row r="2279" spans="1:14" x14ac:dyDescent="0.35">
      <c r="A2279">
        <v>2277</v>
      </c>
      <c r="B2279" t="s">
        <v>34</v>
      </c>
      <c r="C2279" t="s">
        <v>52</v>
      </c>
      <c r="D2279">
        <v>0.25</v>
      </c>
      <c r="E2279">
        <v>0.75</v>
      </c>
      <c r="F2279">
        <v>313.14999999999998</v>
      </c>
      <c r="G2279">
        <v>492</v>
      </c>
      <c r="H2279">
        <f t="shared" si="140"/>
        <v>-4.0547393076297409</v>
      </c>
      <c r="I2279">
        <v>1.7340000000000001E-2</v>
      </c>
      <c r="J2279" t="str">
        <f t="shared" si="141"/>
        <v>COC1=C(C=CC(=C1)C=O)OCC1=CC(=O)CC(C1=O)(C)C</v>
      </c>
      <c r="K2279">
        <v>64</v>
      </c>
      <c r="M2279">
        <f t="shared" si="142"/>
        <v>5.4037971934950142E-2</v>
      </c>
      <c r="N2279">
        <f t="shared" si="143"/>
        <v>-0.34619044818421107</v>
      </c>
    </row>
    <row r="2280" spans="1:14" x14ac:dyDescent="0.35">
      <c r="A2280">
        <v>2278</v>
      </c>
      <c r="B2280" t="s">
        <v>34</v>
      </c>
      <c r="C2280" t="s">
        <v>52</v>
      </c>
      <c r="D2280">
        <v>0.25</v>
      </c>
      <c r="E2280">
        <v>0.75</v>
      </c>
      <c r="F2280">
        <v>313.14999999999998</v>
      </c>
      <c r="G2280">
        <v>692</v>
      </c>
      <c r="H2280">
        <f t="shared" si="140"/>
        <v>-3.7046024145791727</v>
      </c>
      <c r="I2280">
        <v>2.461E-2</v>
      </c>
      <c r="J2280" t="str">
        <f t="shared" si="141"/>
        <v>COC1=C(C=CC(=C1)C=O)OCC1=CC(=O)CC(C1=O)(C)C</v>
      </c>
      <c r="K2280">
        <v>64</v>
      </c>
      <c r="M2280">
        <f t="shared" si="142"/>
        <v>5.4037971934950142E-2</v>
      </c>
      <c r="N2280">
        <f t="shared" si="143"/>
        <v>-0.23433335004202097</v>
      </c>
    </row>
    <row r="2281" spans="1:14" x14ac:dyDescent="0.35">
      <c r="A2281">
        <v>2279</v>
      </c>
      <c r="B2281" t="s">
        <v>34</v>
      </c>
      <c r="C2281" t="s">
        <v>52</v>
      </c>
      <c r="D2281">
        <v>0.25</v>
      </c>
      <c r="E2281">
        <v>0.75</v>
      </c>
      <c r="F2281">
        <v>313.14999999999998</v>
      </c>
      <c r="G2281">
        <v>892</v>
      </c>
      <c r="H2281">
        <f t="shared" si="140"/>
        <v>-3.4442092722554465</v>
      </c>
      <c r="I2281">
        <v>3.193E-2</v>
      </c>
      <c r="J2281" t="str">
        <f t="shared" si="141"/>
        <v>COC1=C(C=CC(=C1)C=O)OCC1=CC(=O)CC(C1=O)(C)C</v>
      </c>
      <c r="K2281">
        <v>64</v>
      </c>
      <c r="M2281">
        <f t="shared" si="142"/>
        <v>5.4037971934950142E-2</v>
      </c>
      <c r="N2281">
        <f t="shared" si="143"/>
        <v>-0.12247625189983084</v>
      </c>
    </row>
    <row r="2282" spans="1:14" x14ac:dyDescent="0.35">
      <c r="A2282">
        <v>2280</v>
      </c>
      <c r="B2282" t="s">
        <v>34</v>
      </c>
      <c r="C2282" t="s">
        <v>52</v>
      </c>
      <c r="D2282">
        <v>0.25</v>
      </c>
      <c r="E2282">
        <v>0.75</v>
      </c>
      <c r="F2282">
        <v>313.14999999999998</v>
      </c>
      <c r="G2282">
        <v>1092</v>
      </c>
      <c r="H2282">
        <f t="shared" si="140"/>
        <v>-3.2378038347537195</v>
      </c>
      <c r="I2282">
        <v>3.925E-2</v>
      </c>
      <c r="J2282" t="str">
        <f t="shared" si="141"/>
        <v>COC1=C(C=CC(=C1)C=O)OCC1=CC(=O)CC(C1=O)(C)C</v>
      </c>
      <c r="K2282">
        <v>64</v>
      </c>
      <c r="M2282">
        <f t="shared" si="142"/>
        <v>5.4037971934950142E-2</v>
      </c>
      <c r="N2282">
        <f t="shared" si="143"/>
        <v>-1.0619153757640743E-2</v>
      </c>
    </row>
    <row r="2283" spans="1:14" x14ac:dyDescent="0.35">
      <c r="A2283">
        <v>2281</v>
      </c>
      <c r="B2283" t="s">
        <v>34</v>
      </c>
      <c r="C2283" t="s">
        <v>52</v>
      </c>
      <c r="D2283">
        <v>0.25</v>
      </c>
      <c r="E2283">
        <v>0.75</v>
      </c>
      <c r="F2283">
        <v>313.14999999999998</v>
      </c>
      <c r="G2283">
        <v>1392</v>
      </c>
      <c r="H2283">
        <f t="shared" si="140"/>
        <v>-2.9885580698059906</v>
      </c>
      <c r="I2283">
        <v>5.0360000000000002E-2</v>
      </c>
      <c r="J2283" t="str">
        <f t="shared" si="141"/>
        <v>COC1=C(C=CC(=C1)C=O)OCC1=CC(=O)CC(C1=O)(C)C</v>
      </c>
      <c r="K2283">
        <v>64</v>
      </c>
      <c r="M2283">
        <f t="shared" si="142"/>
        <v>5.4037971934950142E-2</v>
      </c>
      <c r="N2283">
        <f t="shared" si="143"/>
        <v>0.1571664934556444</v>
      </c>
    </row>
    <row r="2284" spans="1:14" x14ac:dyDescent="0.35">
      <c r="A2284">
        <v>2282</v>
      </c>
      <c r="B2284" t="s">
        <v>34</v>
      </c>
      <c r="C2284" t="s">
        <v>52</v>
      </c>
      <c r="D2284">
        <v>0.25</v>
      </c>
      <c r="E2284">
        <v>0.75</v>
      </c>
      <c r="F2284">
        <v>313.14999999999998</v>
      </c>
      <c r="G2284">
        <v>1692</v>
      </c>
      <c r="H2284">
        <f t="shared" si="140"/>
        <v>-2.7890433603117422</v>
      </c>
      <c r="I2284">
        <v>6.148E-2</v>
      </c>
      <c r="J2284" t="str">
        <f t="shared" si="141"/>
        <v>COC1=C(C=CC(=C1)C=O)OCC1=CC(=O)CC(C1=O)(C)C</v>
      </c>
      <c r="K2284">
        <v>64</v>
      </c>
      <c r="M2284">
        <f t="shared" si="142"/>
        <v>5.4037971934950142E-2</v>
      </c>
      <c r="N2284">
        <f t="shared" si="143"/>
        <v>0.32495214066892958</v>
      </c>
    </row>
    <row r="2285" spans="1:14" x14ac:dyDescent="0.35">
      <c r="A2285">
        <v>2283</v>
      </c>
      <c r="B2285" t="s">
        <v>34</v>
      </c>
      <c r="C2285" t="s">
        <v>52</v>
      </c>
      <c r="D2285">
        <v>0.25</v>
      </c>
      <c r="E2285">
        <v>0.75</v>
      </c>
      <c r="F2285">
        <v>313.14999999999998</v>
      </c>
      <c r="G2285">
        <v>1992</v>
      </c>
      <c r="H2285">
        <f t="shared" si="140"/>
        <v>-2.6189410260304342</v>
      </c>
      <c r="I2285">
        <v>7.288E-2</v>
      </c>
      <c r="J2285" t="str">
        <f t="shared" si="141"/>
        <v>COC1=C(C=CC(=C1)C=O)OCC1=CC(=O)CC(C1=O)(C)C</v>
      </c>
      <c r="K2285">
        <v>64</v>
      </c>
      <c r="M2285">
        <f t="shared" si="142"/>
        <v>5.4037971934950142E-2</v>
      </c>
      <c r="N2285">
        <f t="shared" si="143"/>
        <v>0.49273778788221473</v>
      </c>
    </row>
    <row r="2286" spans="1:14" x14ac:dyDescent="0.35">
      <c r="A2286">
        <v>2284</v>
      </c>
      <c r="B2286" t="s">
        <v>34</v>
      </c>
      <c r="C2286" t="s">
        <v>26</v>
      </c>
      <c r="D2286">
        <v>0.25</v>
      </c>
      <c r="E2286">
        <v>0.75</v>
      </c>
      <c r="F2286">
        <v>298.14999999999998</v>
      </c>
      <c r="G2286">
        <v>92</v>
      </c>
      <c r="H2286">
        <f t="shared" si="140"/>
        <v>-5.6464574080369312</v>
      </c>
      <c r="I2286">
        <v>3.5300000000000002E-3</v>
      </c>
      <c r="J2286" t="str">
        <f t="shared" si="141"/>
        <v>COC1=C(C=CC(=C1)C=O)OCC1=CCC(CC1=O)C(=C)C</v>
      </c>
      <c r="K2286">
        <v>65</v>
      </c>
      <c r="M2286">
        <f t="shared" si="142"/>
        <v>-1.1215370428862177</v>
      </c>
      <c r="N2286">
        <f t="shared" si="143"/>
        <v>-0.56990464446859124</v>
      </c>
    </row>
    <row r="2287" spans="1:14" x14ac:dyDescent="0.35">
      <c r="A2287">
        <v>2285</v>
      </c>
      <c r="B2287" t="s">
        <v>34</v>
      </c>
      <c r="C2287" t="s">
        <v>26</v>
      </c>
      <c r="D2287">
        <v>0.25</v>
      </c>
      <c r="E2287">
        <v>0.75</v>
      </c>
      <c r="F2287">
        <v>298.14999999999998</v>
      </c>
      <c r="G2287">
        <v>292</v>
      </c>
      <c r="H2287">
        <f t="shared" si="140"/>
        <v>-4.4785375350547252</v>
      </c>
      <c r="I2287">
        <v>1.1350000000000001E-2</v>
      </c>
      <c r="J2287" t="str">
        <f t="shared" si="141"/>
        <v>COC1=C(C=CC(=C1)C=O)OCC1=CCC(CC1=O)C(=C)C</v>
      </c>
      <c r="K2287">
        <v>65</v>
      </c>
      <c r="M2287">
        <f t="shared" si="142"/>
        <v>-1.1215370428862177</v>
      </c>
      <c r="N2287">
        <f t="shared" si="143"/>
        <v>-0.45804754632640116</v>
      </c>
    </row>
    <row r="2288" spans="1:14" x14ac:dyDescent="0.35">
      <c r="A2288">
        <v>2286</v>
      </c>
      <c r="B2288" t="s">
        <v>34</v>
      </c>
      <c r="C2288" t="s">
        <v>26</v>
      </c>
      <c r="D2288">
        <v>0.25</v>
      </c>
      <c r="E2288">
        <v>0.75</v>
      </c>
      <c r="F2288">
        <v>298.14999999999998</v>
      </c>
      <c r="G2288">
        <v>492</v>
      </c>
      <c r="H2288">
        <f t="shared" si="140"/>
        <v>-3.9492057965558622</v>
      </c>
      <c r="I2288">
        <v>1.9269999999999999E-2</v>
      </c>
      <c r="J2288" t="str">
        <f t="shared" si="141"/>
        <v>COC1=C(C=CC(=C1)C=O)OCC1=CCC(CC1=O)C(=C)C</v>
      </c>
      <c r="K2288">
        <v>65</v>
      </c>
      <c r="M2288">
        <f t="shared" si="142"/>
        <v>-1.1215370428862177</v>
      </c>
      <c r="N2288">
        <f t="shared" si="143"/>
        <v>-0.34619044818421107</v>
      </c>
    </row>
    <row r="2289" spans="1:14" x14ac:dyDescent="0.35">
      <c r="A2289">
        <v>2287</v>
      </c>
      <c r="B2289" t="s">
        <v>34</v>
      </c>
      <c r="C2289" t="s">
        <v>26</v>
      </c>
      <c r="D2289">
        <v>0.25</v>
      </c>
      <c r="E2289">
        <v>0.75</v>
      </c>
      <c r="F2289">
        <v>298.14999999999998</v>
      </c>
      <c r="G2289">
        <v>692</v>
      </c>
      <c r="H2289">
        <f t="shared" si="140"/>
        <v>-3.6019680821246398</v>
      </c>
      <c r="I2289">
        <v>2.7269999999999999E-2</v>
      </c>
      <c r="J2289" t="str">
        <f t="shared" si="141"/>
        <v>COC1=C(C=CC(=C1)C=O)OCC1=CCC(CC1=O)C(=C)C</v>
      </c>
      <c r="K2289">
        <v>65</v>
      </c>
      <c r="M2289">
        <f t="shared" si="142"/>
        <v>-1.1215370428862177</v>
      </c>
      <c r="N2289">
        <f t="shared" si="143"/>
        <v>-0.23433335004202097</v>
      </c>
    </row>
    <row r="2290" spans="1:14" x14ac:dyDescent="0.35">
      <c r="A2290">
        <v>2288</v>
      </c>
      <c r="B2290" t="s">
        <v>34</v>
      </c>
      <c r="C2290" t="s">
        <v>26</v>
      </c>
      <c r="D2290">
        <v>0.25</v>
      </c>
      <c r="E2290">
        <v>0.75</v>
      </c>
      <c r="F2290">
        <v>298.14999999999998</v>
      </c>
      <c r="G2290">
        <v>892</v>
      </c>
      <c r="H2290">
        <f t="shared" si="140"/>
        <v>-3.3407610128583247</v>
      </c>
      <c r="I2290">
        <v>3.5409999999999997E-2</v>
      </c>
      <c r="J2290" t="str">
        <f t="shared" si="141"/>
        <v>COC1=C(C=CC(=C1)C=O)OCC1=CCC(CC1=O)C(=C)C</v>
      </c>
      <c r="K2290">
        <v>65</v>
      </c>
      <c r="M2290">
        <f t="shared" si="142"/>
        <v>-1.1215370428862177</v>
      </c>
      <c r="N2290">
        <f t="shared" si="143"/>
        <v>-0.12247625189983084</v>
      </c>
    </row>
    <row r="2291" spans="1:14" x14ac:dyDescent="0.35">
      <c r="A2291">
        <v>2289</v>
      </c>
      <c r="B2291" t="s">
        <v>34</v>
      </c>
      <c r="C2291" t="s">
        <v>26</v>
      </c>
      <c r="D2291">
        <v>0.25</v>
      </c>
      <c r="E2291">
        <v>0.75</v>
      </c>
      <c r="F2291">
        <v>298.14999999999998</v>
      </c>
      <c r="G2291">
        <v>1092</v>
      </c>
      <c r="H2291">
        <f t="shared" si="140"/>
        <v>-3.1324687971274621</v>
      </c>
      <c r="I2291">
        <v>4.3610000000000003E-2</v>
      </c>
      <c r="J2291" t="str">
        <f t="shared" si="141"/>
        <v>COC1=C(C=CC(=C1)C=O)OCC1=CCC(CC1=O)C(=C)C</v>
      </c>
      <c r="K2291">
        <v>65</v>
      </c>
      <c r="M2291">
        <f t="shared" si="142"/>
        <v>-1.1215370428862177</v>
      </c>
      <c r="N2291">
        <f t="shared" si="143"/>
        <v>-1.0619153757640743E-2</v>
      </c>
    </row>
    <row r="2292" spans="1:14" x14ac:dyDescent="0.35">
      <c r="A2292">
        <v>2290</v>
      </c>
      <c r="B2292" t="s">
        <v>34</v>
      </c>
      <c r="C2292" t="s">
        <v>26</v>
      </c>
      <c r="D2292">
        <v>0.25</v>
      </c>
      <c r="E2292">
        <v>0.75</v>
      </c>
      <c r="F2292">
        <v>298.14999999999998</v>
      </c>
      <c r="G2292">
        <v>1392</v>
      </c>
      <c r="H2292">
        <f t="shared" si="140"/>
        <v>-2.8781270314797278</v>
      </c>
      <c r="I2292">
        <v>5.6239999999999998E-2</v>
      </c>
      <c r="J2292" t="str">
        <f t="shared" si="141"/>
        <v>COC1=C(C=CC(=C1)C=O)OCC1=CCC(CC1=O)C(=C)C</v>
      </c>
      <c r="K2292">
        <v>65</v>
      </c>
      <c r="M2292">
        <f t="shared" si="142"/>
        <v>-1.1215370428862177</v>
      </c>
      <c r="N2292">
        <f t="shared" si="143"/>
        <v>0.1571664934556444</v>
      </c>
    </row>
    <row r="2293" spans="1:14" x14ac:dyDescent="0.35">
      <c r="A2293">
        <v>2291</v>
      </c>
      <c r="B2293" t="s">
        <v>34</v>
      </c>
      <c r="C2293" t="s">
        <v>26</v>
      </c>
      <c r="D2293">
        <v>0.25</v>
      </c>
      <c r="E2293">
        <v>0.75</v>
      </c>
      <c r="F2293">
        <v>298.14999999999998</v>
      </c>
      <c r="G2293">
        <v>1692</v>
      </c>
      <c r="H2293">
        <f t="shared" si="140"/>
        <v>-2.6713326181670474</v>
      </c>
      <c r="I2293">
        <v>6.9159999999999999E-2</v>
      </c>
      <c r="J2293" t="str">
        <f t="shared" si="141"/>
        <v>COC1=C(C=CC(=C1)C=O)OCC1=CCC(CC1=O)C(=C)C</v>
      </c>
      <c r="K2293">
        <v>65</v>
      </c>
      <c r="M2293">
        <f t="shared" si="142"/>
        <v>-1.1215370428862177</v>
      </c>
      <c r="N2293">
        <f t="shared" si="143"/>
        <v>0.32495214066892958</v>
      </c>
    </row>
    <row r="2294" spans="1:14" x14ac:dyDescent="0.35">
      <c r="A2294">
        <v>2292</v>
      </c>
      <c r="B2294" t="s">
        <v>34</v>
      </c>
      <c r="C2294" t="s">
        <v>26</v>
      </c>
      <c r="D2294">
        <v>0.25</v>
      </c>
      <c r="E2294">
        <v>0.75</v>
      </c>
      <c r="F2294">
        <v>298.14999999999998</v>
      </c>
      <c r="G2294">
        <v>1992</v>
      </c>
      <c r="H2294">
        <f t="shared" si="140"/>
        <v>-2.4960484902068449</v>
      </c>
      <c r="I2294">
        <v>8.2409999999999997E-2</v>
      </c>
      <c r="J2294" t="str">
        <f t="shared" si="141"/>
        <v>COC1=C(C=CC(=C1)C=O)OCC1=CCC(CC1=O)C(=C)C</v>
      </c>
      <c r="K2294">
        <v>65</v>
      </c>
      <c r="M2294">
        <f t="shared" si="142"/>
        <v>-1.1215370428862177</v>
      </c>
      <c r="N2294">
        <f t="shared" si="143"/>
        <v>0.49273778788221473</v>
      </c>
    </row>
    <row r="2295" spans="1:14" x14ac:dyDescent="0.35">
      <c r="A2295">
        <v>2293</v>
      </c>
      <c r="B2295" t="s">
        <v>34</v>
      </c>
      <c r="C2295" t="s">
        <v>26</v>
      </c>
      <c r="D2295">
        <v>0.25</v>
      </c>
      <c r="E2295">
        <v>0.75</v>
      </c>
      <c r="F2295">
        <v>313.14999999999998</v>
      </c>
      <c r="G2295">
        <v>92</v>
      </c>
      <c r="H2295">
        <f t="shared" si="140"/>
        <v>-5.952243833954701</v>
      </c>
      <c r="I2295">
        <v>2.5999999999999999E-3</v>
      </c>
      <c r="J2295" t="str">
        <f t="shared" si="141"/>
        <v>COC1=C(C=CC(=C1)C=O)OCC1=CCC(CC1=O)C(=C)C</v>
      </c>
      <c r="K2295">
        <v>65</v>
      </c>
      <c r="M2295">
        <f t="shared" si="142"/>
        <v>5.4037971934950142E-2</v>
      </c>
      <c r="N2295">
        <f t="shared" si="143"/>
        <v>-0.56990464446859124</v>
      </c>
    </row>
    <row r="2296" spans="1:14" x14ac:dyDescent="0.35">
      <c r="A2296">
        <v>2294</v>
      </c>
      <c r="B2296" t="s">
        <v>34</v>
      </c>
      <c r="C2296" t="s">
        <v>26</v>
      </c>
      <c r="D2296">
        <v>0.25</v>
      </c>
      <c r="E2296">
        <v>0.75</v>
      </c>
      <c r="F2296">
        <v>313.14999999999998</v>
      </c>
      <c r="G2296">
        <v>292</v>
      </c>
      <c r="H2296">
        <f t="shared" si="140"/>
        <v>-4.7501959580383488</v>
      </c>
      <c r="I2296">
        <v>8.6499999999999997E-3</v>
      </c>
      <c r="J2296" t="str">
        <f t="shared" si="141"/>
        <v>COC1=C(C=CC(=C1)C=O)OCC1=CCC(CC1=O)C(=C)C</v>
      </c>
      <c r="K2296">
        <v>65</v>
      </c>
      <c r="M2296">
        <f t="shared" si="142"/>
        <v>5.4037971934950142E-2</v>
      </c>
      <c r="N2296">
        <f t="shared" si="143"/>
        <v>-0.45804754632640116</v>
      </c>
    </row>
    <row r="2297" spans="1:14" x14ac:dyDescent="0.35">
      <c r="A2297">
        <v>2295</v>
      </c>
      <c r="B2297" t="s">
        <v>34</v>
      </c>
      <c r="C2297" t="s">
        <v>26</v>
      </c>
      <c r="D2297">
        <v>0.25</v>
      </c>
      <c r="E2297">
        <v>0.75</v>
      </c>
      <c r="F2297">
        <v>313.14999999999998</v>
      </c>
      <c r="G2297">
        <v>492</v>
      </c>
      <c r="H2297">
        <f t="shared" si="140"/>
        <v>-4.2205882887963515</v>
      </c>
      <c r="I2297">
        <v>1.469E-2</v>
      </c>
      <c r="J2297" t="str">
        <f t="shared" si="141"/>
        <v>COC1=C(C=CC(=C1)C=O)OCC1=CCC(CC1=O)C(=C)C</v>
      </c>
      <c r="K2297">
        <v>65</v>
      </c>
      <c r="M2297">
        <f t="shared" si="142"/>
        <v>5.4037971934950142E-2</v>
      </c>
      <c r="N2297">
        <f t="shared" si="143"/>
        <v>-0.34619044818421107</v>
      </c>
    </row>
    <row r="2298" spans="1:14" x14ac:dyDescent="0.35">
      <c r="A2298">
        <v>2296</v>
      </c>
      <c r="B2298" t="s">
        <v>34</v>
      </c>
      <c r="C2298" t="s">
        <v>26</v>
      </c>
      <c r="D2298">
        <v>0.25</v>
      </c>
      <c r="E2298">
        <v>0.75</v>
      </c>
      <c r="F2298">
        <v>313.14999999999998</v>
      </c>
      <c r="G2298">
        <v>692</v>
      </c>
      <c r="H2298">
        <f t="shared" si="140"/>
        <v>-3.8795558152906446</v>
      </c>
      <c r="I2298">
        <v>2.0660000000000001E-2</v>
      </c>
      <c r="J2298" t="str">
        <f t="shared" si="141"/>
        <v>COC1=C(C=CC(=C1)C=O)OCC1=CCC(CC1=O)C(=C)C</v>
      </c>
      <c r="K2298">
        <v>65</v>
      </c>
      <c r="M2298">
        <f t="shared" si="142"/>
        <v>5.4037971934950142E-2</v>
      </c>
      <c r="N2298">
        <f t="shared" si="143"/>
        <v>-0.23433335004202097</v>
      </c>
    </row>
    <row r="2299" spans="1:14" x14ac:dyDescent="0.35">
      <c r="A2299">
        <v>2297</v>
      </c>
      <c r="B2299" t="s">
        <v>34</v>
      </c>
      <c r="C2299" t="s">
        <v>26</v>
      </c>
      <c r="D2299">
        <v>0.25</v>
      </c>
      <c r="E2299">
        <v>0.75</v>
      </c>
      <c r="F2299">
        <v>313.14999999999998</v>
      </c>
      <c r="G2299">
        <v>892</v>
      </c>
      <c r="H2299">
        <f t="shared" si="140"/>
        <v>-3.6174894580272632</v>
      </c>
      <c r="I2299">
        <v>2.6849999999999999E-2</v>
      </c>
      <c r="J2299" t="str">
        <f t="shared" si="141"/>
        <v>COC1=C(C=CC(=C1)C=O)OCC1=CCC(CC1=O)C(=C)C</v>
      </c>
      <c r="K2299">
        <v>65</v>
      </c>
      <c r="M2299">
        <f t="shared" si="142"/>
        <v>5.4037971934950142E-2</v>
      </c>
      <c r="N2299">
        <f t="shared" si="143"/>
        <v>-0.12247625189983084</v>
      </c>
    </row>
    <row r="2300" spans="1:14" x14ac:dyDescent="0.35">
      <c r="A2300">
        <v>2298</v>
      </c>
      <c r="B2300" t="s">
        <v>34</v>
      </c>
      <c r="C2300" t="s">
        <v>26</v>
      </c>
      <c r="D2300">
        <v>0.25</v>
      </c>
      <c r="E2300">
        <v>0.75</v>
      </c>
      <c r="F2300">
        <v>313.14999999999998</v>
      </c>
      <c r="G2300">
        <v>1092</v>
      </c>
      <c r="H2300">
        <f t="shared" si="140"/>
        <v>-3.4100363303293597</v>
      </c>
      <c r="I2300">
        <v>3.304E-2</v>
      </c>
      <c r="J2300" t="str">
        <f t="shared" si="141"/>
        <v>COC1=C(C=CC(=C1)C=O)OCC1=CCC(CC1=O)C(=C)C</v>
      </c>
      <c r="K2300">
        <v>65</v>
      </c>
      <c r="M2300">
        <f t="shared" si="142"/>
        <v>5.4037971934950142E-2</v>
      </c>
      <c r="N2300">
        <f t="shared" si="143"/>
        <v>-1.0619153757640743E-2</v>
      </c>
    </row>
    <row r="2301" spans="1:14" x14ac:dyDescent="0.35">
      <c r="A2301">
        <v>2299</v>
      </c>
      <c r="B2301" t="s">
        <v>34</v>
      </c>
      <c r="C2301" t="s">
        <v>26</v>
      </c>
      <c r="D2301">
        <v>0.25</v>
      </c>
      <c r="E2301">
        <v>0.75</v>
      </c>
      <c r="F2301">
        <v>313.14999999999998</v>
      </c>
      <c r="G2301">
        <v>1392</v>
      </c>
      <c r="H2301">
        <f t="shared" si="140"/>
        <v>-3.1542591817822285</v>
      </c>
      <c r="I2301">
        <v>4.267E-2</v>
      </c>
      <c r="J2301" t="str">
        <f t="shared" si="141"/>
        <v>COC1=C(C=CC(=C1)C=O)OCC1=CCC(CC1=O)C(=C)C</v>
      </c>
      <c r="K2301">
        <v>65</v>
      </c>
      <c r="M2301">
        <f t="shared" si="142"/>
        <v>5.4037971934950142E-2</v>
      </c>
      <c r="N2301">
        <f t="shared" si="143"/>
        <v>0.1571664934556444</v>
      </c>
    </row>
    <row r="2302" spans="1:14" x14ac:dyDescent="0.35">
      <c r="A2302">
        <v>2300</v>
      </c>
      <c r="B2302" t="s">
        <v>34</v>
      </c>
      <c r="C2302" t="s">
        <v>26</v>
      </c>
      <c r="D2302">
        <v>0.25</v>
      </c>
      <c r="E2302">
        <v>0.75</v>
      </c>
      <c r="F2302">
        <v>313.14999999999998</v>
      </c>
      <c r="G2302">
        <v>1692</v>
      </c>
      <c r="H2302">
        <f t="shared" si="140"/>
        <v>-2.9534393613637397</v>
      </c>
      <c r="I2302">
        <v>5.2159999999999998E-2</v>
      </c>
      <c r="J2302" t="str">
        <f t="shared" si="141"/>
        <v>COC1=C(C=CC(=C1)C=O)OCC1=CCC(CC1=O)C(=C)C</v>
      </c>
      <c r="K2302">
        <v>65</v>
      </c>
      <c r="M2302">
        <f t="shared" si="142"/>
        <v>5.4037971934950142E-2</v>
      </c>
      <c r="N2302">
        <f t="shared" si="143"/>
        <v>0.32495214066892958</v>
      </c>
    </row>
    <row r="2303" spans="1:14" x14ac:dyDescent="0.35">
      <c r="A2303">
        <v>2301</v>
      </c>
      <c r="B2303" t="s">
        <v>34</v>
      </c>
      <c r="C2303" t="s">
        <v>26</v>
      </c>
      <c r="D2303">
        <v>0.25</v>
      </c>
      <c r="E2303">
        <v>0.75</v>
      </c>
      <c r="F2303">
        <v>313.14999999999998</v>
      </c>
      <c r="G2303">
        <v>1992</v>
      </c>
      <c r="H2303">
        <f t="shared" si="140"/>
        <v>-2.783690115310955</v>
      </c>
      <c r="I2303">
        <v>6.1809999999999997E-2</v>
      </c>
      <c r="J2303" t="str">
        <f t="shared" si="141"/>
        <v>COC1=C(C=CC(=C1)C=O)OCC1=CCC(CC1=O)C(=C)C</v>
      </c>
      <c r="K2303">
        <v>65</v>
      </c>
      <c r="M2303">
        <f t="shared" si="142"/>
        <v>5.4037971934950142E-2</v>
      </c>
      <c r="N2303">
        <f t="shared" si="143"/>
        <v>0.49273778788221473</v>
      </c>
    </row>
    <row r="2304" spans="1:14" x14ac:dyDescent="0.35">
      <c r="A2304">
        <v>2302</v>
      </c>
      <c r="B2304" t="s">
        <v>29</v>
      </c>
      <c r="C2304" t="s">
        <v>57</v>
      </c>
      <c r="D2304">
        <v>0.25</v>
      </c>
      <c r="E2304">
        <v>0.75</v>
      </c>
      <c r="F2304">
        <v>298.14999999999998</v>
      </c>
      <c r="G2304">
        <v>92</v>
      </c>
      <c r="H2304">
        <f t="shared" si="140"/>
        <v>-5.8925245992530781</v>
      </c>
      <c r="I2304">
        <v>2.7599999999999999E-3</v>
      </c>
      <c r="J2304" t="str">
        <f t="shared" si="141"/>
        <v>C1=CC=C2C(=C1)C=CN2CC1=NC2=CC=CC=C2S1</v>
      </c>
      <c r="K2304">
        <v>5</v>
      </c>
      <c r="M2304">
        <f t="shared" si="142"/>
        <v>-1.1215370428862177</v>
      </c>
      <c r="N2304">
        <f t="shared" si="143"/>
        <v>-0.56990464446859124</v>
      </c>
    </row>
    <row r="2305" spans="1:14" x14ac:dyDescent="0.35">
      <c r="A2305">
        <v>2303</v>
      </c>
      <c r="B2305" t="s">
        <v>29</v>
      </c>
      <c r="C2305" t="s">
        <v>57</v>
      </c>
      <c r="D2305">
        <v>0.25</v>
      </c>
      <c r="E2305">
        <v>0.75</v>
      </c>
      <c r="F2305">
        <v>298.14999999999998</v>
      </c>
      <c r="G2305">
        <v>292</v>
      </c>
      <c r="H2305">
        <f t="shared" si="140"/>
        <v>-4.9448475535582528</v>
      </c>
      <c r="I2305">
        <v>7.1199999999999996E-3</v>
      </c>
      <c r="J2305" t="str">
        <f t="shared" si="141"/>
        <v>C1=CC=C2C(=C1)C=CN2CC1=NC2=CC=CC=C2S1</v>
      </c>
      <c r="K2305">
        <v>5</v>
      </c>
      <c r="M2305">
        <f t="shared" si="142"/>
        <v>-1.1215370428862177</v>
      </c>
      <c r="N2305">
        <f t="shared" si="143"/>
        <v>-0.45804754632640116</v>
      </c>
    </row>
    <row r="2306" spans="1:14" x14ac:dyDescent="0.35">
      <c r="A2306">
        <v>2304</v>
      </c>
      <c r="B2306" t="s">
        <v>29</v>
      </c>
      <c r="C2306" t="s">
        <v>57</v>
      </c>
      <c r="D2306">
        <v>0.25</v>
      </c>
      <c r="E2306">
        <v>0.75</v>
      </c>
      <c r="F2306">
        <v>298.14999999999998</v>
      </c>
      <c r="G2306">
        <v>492</v>
      </c>
      <c r="H2306">
        <f t="shared" si="140"/>
        <v>-4.3732651290053086</v>
      </c>
      <c r="I2306">
        <v>1.261E-2</v>
      </c>
      <c r="J2306" t="str">
        <f t="shared" si="141"/>
        <v>C1=CC=C2C(=C1)C=CN2CC1=NC2=CC=CC=C2S1</v>
      </c>
      <c r="K2306">
        <v>5</v>
      </c>
      <c r="M2306">
        <f t="shared" si="142"/>
        <v>-1.1215370428862177</v>
      </c>
      <c r="N2306">
        <f t="shared" si="143"/>
        <v>-0.34619044818421107</v>
      </c>
    </row>
    <row r="2307" spans="1:14" x14ac:dyDescent="0.35">
      <c r="A2307">
        <v>2305</v>
      </c>
      <c r="B2307" t="s">
        <v>29</v>
      </c>
      <c r="C2307" t="s">
        <v>57</v>
      </c>
      <c r="D2307">
        <v>0.25</v>
      </c>
      <c r="E2307">
        <v>0.75</v>
      </c>
      <c r="F2307">
        <v>298.14999999999998</v>
      </c>
      <c r="G2307">
        <v>692</v>
      </c>
      <c r="H2307">
        <f t="shared" ref="H2307:H2370" si="144">LN(I2307)</f>
        <v>-4.0296810488963786</v>
      </c>
      <c r="I2307">
        <v>1.7780000000000001E-2</v>
      </c>
      <c r="J2307" t="str">
        <f t="shared" ref="J2307:J2370" si="145">_xlfn.CONCAT(B2307,C2307)</f>
        <v>C1=CC=C2C(=C1)C=CN2CC1=NC2=CC=CC=C2S1</v>
      </c>
      <c r="K2307">
        <v>5</v>
      </c>
      <c r="M2307">
        <f t="shared" ref="M2307:M2370" si="146">(F2307-$L$3)/$L$2</f>
        <v>-1.1215370428862177</v>
      </c>
      <c r="N2307">
        <f t="shared" ref="N2307:N2370" si="147">(G2307-$L$6)/$L$5</f>
        <v>-0.23433335004202097</v>
      </c>
    </row>
    <row r="2308" spans="1:14" x14ac:dyDescent="0.35">
      <c r="A2308">
        <v>2306</v>
      </c>
      <c r="B2308" t="s">
        <v>29</v>
      </c>
      <c r="C2308" t="s">
        <v>57</v>
      </c>
      <c r="D2308">
        <v>0.25</v>
      </c>
      <c r="E2308">
        <v>0.75</v>
      </c>
      <c r="F2308">
        <v>298.14999999999998</v>
      </c>
      <c r="G2308">
        <v>892</v>
      </c>
      <c r="H2308">
        <f t="shared" si="144"/>
        <v>-3.7809947430217421</v>
      </c>
      <c r="I2308">
        <v>2.2800000000000001E-2</v>
      </c>
      <c r="J2308" t="str">
        <f t="shared" si="145"/>
        <v>C1=CC=C2C(=C1)C=CN2CC1=NC2=CC=CC=C2S1</v>
      </c>
      <c r="K2308">
        <v>5</v>
      </c>
      <c r="M2308">
        <f t="shared" si="146"/>
        <v>-1.1215370428862177</v>
      </c>
      <c r="N2308">
        <f t="shared" si="147"/>
        <v>-0.12247625189983084</v>
      </c>
    </row>
    <row r="2309" spans="1:14" x14ac:dyDescent="0.35">
      <c r="A2309">
        <v>2307</v>
      </c>
      <c r="B2309" t="s">
        <v>29</v>
      </c>
      <c r="C2309" t="s">
        <v>57</v>
      </c>
      <c r="D2309">
        <v>0.25</v>
      </c>
      <c r="E2309">
        <v>0.75</v>
      </c>
      <c r="F2309">
        <v>298.14999999999998</v>
      </c>
      <c r="G2309">
        <v>1092</v>
      </c>
      <c r="H2309">
        <f t="shared" si="144"/>
        <v>-3.5830790352277249</v>
      </c>
      <c r="I2309">
        <v>2.7789999999999999E-2</v>
      </c>
      <c r="J2309" t="str">
        <f t="shared" si="145"/>
        <v>C1=CC=C2C(=C1)C=CN2CC1=NC2=CC=CC=C2S1</v>
      </c>
      <c r="K2309">
        <v>5</v>
      </c>
      <c r="M2309">
        <f t="shared" si="146"/>
        <v>-1.1215370428862177</v>
      </c>
      <c r="N2309">
        <f t="shared" si="147"/>
        <v>-1.0619153757640743E-2</v>
      </c>
    </row>
    <row r="2310" spans="1:14" x14ac:dyDescent="0.35">
      <c r="A2310">
        <v>2308</v>
      </c>
      <c r="B2310" t="s">
        <v>29</v>
      </c>
      <c r="C2310" t="s">
        <v>57</v>
      </c>
      <c r="D2310">
        <v>0.25</v>
      </c>
      <c r="E2310">
        <v>0.75</v>
      </c>
      <c r="F2310">
        <v>298.14999999999998</v>
      </c>
      <c r="G2310">
        <v>1392</v>
      </c>
      <c r="H2310">
        <f t="shared" si="144"/>
        <v>-3.3351287816924504</v>
      </c>
      <c r="I2310">
        <v>3.5610000000000003E-2</v>
      </c>
      <c r="J2310" t="str">
        <f t="shared" si="145"/>
        <v>C1=CC=C2C(=C1)C=CN2CC1=NC2=CC=CC=C2S1</v>
      </c>
      <c r="K2310">
        <v>5</v>
      </c>
      <c r="M2310">
        <f t="shared" si="146"/>
        <v>-1.1215370428862177</v>
      </c>
      <c r="N2310">
        <f t="shared" si="147"/>
        <v>0.1571664934556444</v>
      </c>
    </row>
    <row r="2311" spans="1:14" x14ac:dyDescent="0.35">
      <c r="A2311">
        <v>2309</v>
      </c>
      <c r="B2311" t="s">
        <v>29</v>
      </c>
      <c r="C2311" t="s">
        <v>57</v>
      </c>
      <c r="D2311">
        <v>0.25</v>
      </c>
      <c r="E2311">
        <v>0.75</v>
      </c>
      <c r="F2311">
        <v>298.14999999999998</v>
      </c>
      <c r="G2311">
        <v>1692</v>
      </c>
      <c r="H2311">
        <f t="shared" si="144"/>
        <v>-3.1361444272707359</v>
      </c>
      <c r="I2311">
        <v>4.3450000000000003E-2</v>
      </c>
      <c r="J2311" t="str">
        <f t="shared" si="145"/>
        <v>C1=CC=C2C(=C1)C=CN2CC1=NC2=CC=CC=C2S1</v>
      </c>
      <c r="K2311">
        <v>5</v>
      </c>
      <c r="M2311">
        <f t="shared" si="146"/>
        <v>-1.1215370428862177</v>
      </c>
      <c r="N2311">
        <f t="shared" si="147"/>
        <v>0.32495214066892958</v>
      </c>
    </row>
    <row r="2312" spans="1:14" x14ac:dyDescent="0.35">
      <c r="A2312">
        <v>2310</v>
      </c>
      <c r="B2312" t="s">
        <v>29</v>
      </c>
      <c r="C2312" t="s">
        <v>57</v>
      </c>
      <c r="D2312">
        <v>0.25</v>
      </c>
      <c r="E2312">
        <v>0.75</v>
      </c>
      <c r="F2312">
        <v>298.14999999999998</v>
      </c>
      <c r="G2312">
        <v>1992</v>
      </c>
      <c r="H2312">
        <f t="shared" si="144"/>
        <v>-2.9677280771443937</v>
      </c>
      <c r="I2312">
        <v>5.142E-2</v>
      </c>
      <c r="J2312" t="str">
        <f t="shared" si="145"/>
        <v>C1=CC=C2C(=C1)C=CN2CC1=NC2=CC=CC=C2S1</v>
      </c>
      <c r="K2312">
        <v>5</v>
      </c>
      <c r="M2312">
        <f t="shared" si="146"/>
        <v>-1.1215370428862177</v>
      </c>
      <c r="N2312">
        <f t="shared" si="147"/>
        <v>0.49273778788221473</v>
      </c>
    </row>
    <row r="2313" spans="1:14" x14ac:dyDescent="0.35">
      <c r="A2313">
        <v>2311</v>
      </c>
      <c r="B2313" t="s">
        <v>31</v>
      </c>
      <c r="C2313" t="s">
        <v>80</v>
      </c>
      <c r="D2313">
        <v>0.5</v>
      </c>
      <c r="E2313">
        <v>0.5</v>
      </c>
      <c r="F2313">
        <v>298.14999999999998</v>
      </c>
      <c r="G2313">
        <v>92</v>
      </c>
      <c r="H2313">
        <f t="shared" si="144"/>
        <v>-5.6751950178042883</v>
      </c>
      <c r="I2313">
        <v>3.4299999999999999E-3</v>
      </c>
      <c r="J2313" t="str">
        <f t="shared" si="145"/>
        <v>COC(=O)C1=CC=CC=C1OCC1=CC(=O)CC(C1=O)(C)C</v>
      </c>
      <c r="K2313">
        <v>63</v>
      </c>
      <c r="M2313">
        <f t="shared" si="146"/>
        <v>-1.1215370428862177</v>
      </c>
      <c r="N2313">
        <f t="shared" si="147"/>
        <v>-0.56990464446859124</v>
      </c>
    </row>
    <row r="2314" spans="1:14" x14ac:dyDescent="0.35">
      <c r="A2314">
        <v>2312</v>
      </c>
      <c r="B2314" t="s">
        <v>31</v>
      </c>
      <c r="C2314" t="s">
        <v>80</v>
      </c>
      <c r="D2314">
        <v>0.5</v>
      </c>
      <c r="E2314">
        <v>0.5</v>
      </c>
      <c r="F2314">
        <v>298.14999999999998</v>
      </c>
      <c r="G2314">
        <v>292</v>
      </c>
      <c r="H2314">
        <f t="shared" si="144"/>
        <v>-4.3428059215206005</v>
      </c>
      <c r="I2314">
        <v>1.2999999999999999E-2</v>
      </c>
      <c r="J2314" t="str">
        <f t="shared" si="145"/>
        <v>COC(=O)C1=CC=CC=C1OCC1=CC(=O)CC(C1=O)(C)C</v>
      </c>
      <c r="K2314">
        <v>63</v>
      </c>
      <c r="M2314">
        <f t="shared" si="146"/>
        <v>-1.1215370428862177</v>
      </c>
      <c r="N2314">
        <f t="shared" si="147"/>
        <v>-0.45804754632640116</v>
      </c>
    </row>
    <row r="2315" spans="1:14" x14ac:dyDescent="0.35">
      <c r="A2315">
        <v>2313</v>
      </c>
      <c r="B2315" t="s">
        <v>31</v>
      </c>
      <c r="C2315" t="s">
        <v>80</v>
      </c>
      <c r="D2315">
        <v>0.5</v>
      </c>
      <c r="E2315">
        <v>0.5</v>
      </c>
      <c r="F2315">
        <v>298.14999999999998</v>
      </c>
      <c r="G2315">
        <v>492</v>
      </c>
      <c r="H2315">
        <f t="shared" si="144"/>
        <v>-3.791576852352279</v>
      </c>
      <c r="I2315">
        <v>2.256E-2</v>
      </c>
      <c r="J2315" t="str">
        <f t="shared" si="145"/>
        <v>COC(=O)C1=CC=CC=C1OCC1=CC(=O)CC(C1=O)(C)C</v>
      </c>
      <c r="K2315">
        <v>63</v>
      </c>
      <c r="M2315">
        <f t="shared" si="146"/>
        <v>-1.1215370428862177</v>
      </c>
      <c r="N2315">
        <f t="shared" si="147"/>
        <v>-0.34619044818421107</v>
      </c>
    </row>
    <row r="2316" spans="1:14" x14ac:dyDescent="0.35">
      <c r="A2316">
        <v>2314</v>
      </c>
      <c r="B2316" t="s">
        <v>31</v>
      </c>
      <c r="C2316" t="s">
        <v>80</v>
      </c>
      <c r="D2316">
        <v>0.5</v>
      </c>
      <c r="E2316">
        <v>0.5</v>
      </c>
      <c r="F2316">
        <v>298.14999999999998</v>
      </c>
      <c r="G2316">
        <v>692</v>
      </c>
      <c r="H2316">
        <f t="shared" si="144"/>
        <v>-3.4197687672475907</v>
      </c>
      <c r="I2316">
        <v>3.2719999999999999E-2</v>
      </c>
      <c r="J2316" t="str">
        <f t="shared" si="145"/>
        <v>COC(=O)C1=CC=CC=C1OCC1=CC(=O)CC(C1=O)(C)C</v>
      </c>
      <c r="K2316">
        <v>63</v>
      </c>
      <c r="M2316">
        <f t="shared" si="146"/>
        <v>-1.1215370428862177</v>
      </c>
      <c r="N2316">
        <f t="shared" si="147"/>
        <v>-0.23433335004202097</v>
      </c>
    </row>
    <row r="2317" spans="1:14" x14ac:dyDescent="0.35">
      <c r="A2317">
        <v>2315</v>
      </c>
      <c r="B2317" t="s">
        <v>31</v>
      </c>
      <c r="C2317" t="s">
        <v>80</v>
      </c>
      <c r="D2317">
        <v>0.5</v>
      </c>
      <c r="E2317">
        <v>0.5</v>
      </c>
      <c r="F2317">
        <v>298.14999999999998</v>
      </c>
      <c r="G2317">
        <v>892</v>
      </c>
      <c r="H2317">
        <f t="shared" si="144"/>
        <v>-3.1523860835993678</v>
      </c>
      <c r="I2317">
        <v>4.2750000000000003E-2</v>
      </c>
      <c r="J2317" t="str">
        <f t="shared" si="145"/>
        <v>COC(=O)C1=CC=CC=C1OCC1=CC(=O)CC(C1=O)(C)C</v>
      </c>
      <c r="K2317">
        <v>63</v>
      </c>
      <c r="M2317">
        <f t="shared" si="146"/>
        <v>-1.1215370428862177</v>
      </c>
      <c r="N2317">
        <f t="shared" si="147"/>
        <v>-0.12247625189983084</v>
      </c>
    </row>
    <row r="2318" spans="1:14" x14ac:dyDescent="0.35">
      <c r="A2318">
        <v>2316</v>
      </c>
      <c r="B2318" t="s">
        <v>31</v>
      </c>
      <c r="C2318" t="s">
        <v>80</v>
      </c>
      <c r="D2318">
        <v>0.5</v>
      </c>
      <c r="E2318">
        <v>0.5</v>
      </c>
      <c r="F2318">
        <v>298.14999999999998</v>
      </c>
      <c r="G2318">
        <v>1092</v>
      </c>
      <c r="H2318">
        <f t="shared" si="144"/>
        <v>-2.9372747039824225</v>
      </c>
      <c r="I2318">
        <v>5.3010000000000002E-2</v>
      </c>
      <c r="J2318" t="str">
        <f t="shared" si="145"/>
        <v>COC(=O)C1=CC=CC=C1OCC1=CC(=O)CC(C1=O)(C)C</v>
      </c>
      <c r="K2318">
        <v>63</v>
      </c>
      <c r="M2318">
        <f t="shared" si="146"/>
        <v>-1.1215370428862177</v>
      </c>
      <c r="N2318">
        <f t="shared" si="147"/>
        <v>-1.0619153757640743E-2</v>
      </c>
    </row>
    <row r="2319" spans="1:14" x14ac:dyDescent="0.35">
      <c r="A2319">
        <v>2317</v>
      </c>
      <c r="B2319" t="s">
        <v>31</v>
      </c>
      <c r="C2319" t="s">
        <v>80</v>
      </c>
      <c r="D2319">
        <v>0.5</v>
      </c>
      <c r="E2319">
        <v>0.5</v>
      </c>
      <c r="F2319">
        <v>298.14999999999998</v>
      </c>
      <c r="G2319">
        <v>1392</v>
      </c>
      <c r="H2319">
        <f t="shared" si="144"/>
        <v>-2.6762608786128026</v>
      </c>
      <c r="I2319">
        <v>6.8820000000000006E-2</v>
      </c>
      <c r="J2319" t="str">
        <f t="shared" si="145"/>
        <v>COC(=O)C1=CC=CC=C1OCC1=CC(=O)CC(C1=O)(C)C</v>
      </c>
      <c r="K2319">
        <v>63</v>
      </c>
      <c r="M2319">
        <f t="shared" si="146"/>
        <v>-1.1215370428862177</v>
      </c>
      <c r="N2319">
        <f t="shared" si="147"/>
        <v>0.1571664934556444</v>
      </c>
    </row>
    <row r="2320" spans="1:14" x14ac:dyDescent="0.35">
      <c r="A2320">
        <v>2318</v>
      </c>
      <c r="B2320" t="s">
        <v>31</v>
      </c>
      <c r="C2320" t="s">
        <v>80</v>
      </c>
      <c r="D2320">
        <v>0.5</v>
      </c>
      <c r="E2320">
        <v>0.5</v>
      </c>
      <c r="F2320">
        <v>298.14999999999998</v>
      </c>
      <c r="G2320">
        <v>1692</v>
      </c>
      <c r="H2320">
        <f t="shared" si="144"/>
        <v>-2.4643983891566497</v>
      </c>
      <c r="I2320">
        <v>8.5059999999999997E-2</v>
      </c>
      <c r="J2320" t="str">
        <f t="shared" si="145"/>
        <v>COC(=O)C1=CC=CC=C1OCC1=CC(=O)CC(C1=O)(C)C</v>
      </c>
      <c r="K2320">
        <v>63</v>
      </c>
      <c r="M2320">
        <f t="shared" si="146"/>
        <v>-1.1215370428862177</v>
      </c>
      <c r="N2320">
        <f t="shared" si="147"/>
        <v>0.32495214066892958</v>
      </c>
    </row>
    <row r="2321" spans="1:14" x14ac:dyDescent="0.35">
      <c r="A2321">
        <v>2319</v>
      </c>
      <c r="B2321" t="s">
        <v>31</v>
      </c>
      <c r="C2321" t="s">
        <v>80</v>
      </c>
      <c r="D2321">
        <v>0.5</v>
      </c>
      <c r="E2321">
        <v>0.5</v>
      </c>
      <c r="F2321">
        <v>298.14999999999998</v>
      </c>
      <c r="G2321">
        <v>1992</v>
      </c>
      <c r="H2321">
        <f t="shared" si="144"/>
        <v>-2.2836652081415347</v>
      </c>
      <c r="I2321">
        <v>0.10191</v>
      </c>
      <c r="J2321" t="str">
        <f t="shared" si="145"/>
        <v>COC(=O)C1=CC=CC=C1OCC1=CC(=O)CC(C1=O)(C)C</v>
      </c>
      <c r="K2321">
        <v>63</v>
      </c>
      <c r="M2321">
        <f t="shared" si="146"/>
        <v>-1.1215370428862177</v>
      </c>
      <c r="N2321">
        <f t="shared" si="147"/>
        <v>0.49273778788221473</v>
      </c>
    </row>
    <row r="2322" spans="1:14" x14ac:dyDescent="0.35">
      <c r="A2322">
        <v>2320</v>
      </c>
      <c r="B2322" t="s">
        <v>31</v>
      </c>
      <c r="C2322" t="s">
        <v>80</v>
      </c>
      <c r="D2322">
        <v>0.5</v>
      </c>
      <c r="E2322">
        <v>0.5</v>
      </c>
      <c r="F2322">
        <v>313.14999999999998</v>
      </c>
      <c r="G2322">
        <v>92</v>
      </c>
      <c r="H2322">
        <f t="shared" si="144"/>
        <v>-5.8464987768577963</v>
      </c>
      <c r="I2322">
        <v>2.8900000000000002E-3</v>
      </c>
      <c r="J2322" t="str">
        <f t="shared" si="145"/>
        <v>COC(=O)C1=CC=CC=C1OCC1=CC(=O)CC(C1=O)(C)C</v>
      </c>
      <c r="K2322">
        <v>63</v>
      </c>
      <c r="M2322">
        <f t="shared" si="146"/>
        <v>5.4037971934950142E-2</v>
      </c>
      <c r="N2322">
        <f t="shared" si="147"/>
        <v>-0.56990464446859124</v>
      </c>
    </row>
    <row r="2323" spans="1:14" x14ac:dyDescent="0.35">
      <c r="A2323">
        <v>2321</v>
      </c>
      <c r="B2323" t="s">
        <v>31</v>
      </c>
      <c r="C2323" t="s">
        <v>80</v>
      </c>
      <c r="D2323">
        <v>0.5</v>
      </c>
      <c r="E2323">
        <v>0.5</v>
      </c>
      <c r="F2323">
        <v>313.14999999999998</v>
      </c>
      <c r="G2323">
        <v>292</v>
      </c>
      <c r="H2323">
        <f t="shared" si="144"/>
        <v>-4.563069009969456</v>
      </c>
      <c r="I2323">
        <v>1.043E-2</v>
      </c>
      <c r="J2323" t="str">
        <f t="shared" si="145"/>
        <v>COC(=O)C1=CC=CC=C1OCC1=CC(=O)CC(C1=O)(C)C</v>
      </c>
      <c r="K2323">
        <v>63</v>
      </c>
      <c r="M2323">
        <f t="shared" si="146"/>
        <v>5.4037971934950142E-2</v>
      </c>
      <c r="N2323">
        <f t="shared" si="147"/>
        <v>-0.45804754632640116</v>
      </c>
    </row>
    <row r="2324" spans="1:14" x14ac:dyDescent="0.35">
      <c r="A2324">
        <v>2322</v>
      </c>
      <c r="B2324" t="s">
        <v>31</v>
      </c>
      <c r="C2324" t="s">
        <v>80</v>
      </c>
      <c r="D2324">
        <v>0.5</v>
      </c>
      <c r="E2324">
        <v>0.5</v>
      </c>
      <c r="F2324">
        <v>313.14999999999998</v>
      </c>
      <c r="G2324">
        <v>492</v>
      </c>
      <c r="H2324">
        <f t="shared" si="144"/>
        <v>-4.0096358342951461</v>
      </c>
      <c r="I2324">
        <v>1.814E-2</v>
      </c>
      <c r="J2324" t="str">
        <f t="shared" si="145"/>
        <v>COC(=O)C1=CC=CC=C1OCC1=CC(=O)CC(C1=O)(C)C</v>
      </c>
      <c r="K2324">
        <v>63</v>
      </c>
      <c r="M2324">
        <f t="shared" si="146"/>
        <v>5.4037971934950142E-2</v>
      </c>
      <c r="N2324">
        <f t="shared" si="147"/>
        <v>-0.34619044818421107</v>
      </c>
    </row>
    <row r="2325" spans="1:14" x14ac:dyDescent="0.35">
      <c r="A2325">
        <v>2323</v>
      </c>
      <c r="B2325" t="s">
        <v>31</v>
      </c>
      <c r="C2325" t="s">
        <v>80</v>
      </c>
      <c r="D2325">
        <v>0.5</v>
      </c>
      <c r="E2325">
        <v>0.5</v>
      </c>
      <c r="F2325">
        <v>313.14999999999998</v>
      </c>
      <c r="G2325">
        <v>692</v>
      </c>
      <c r="H2325">
        <f t="shared" si="144"/>
        <v>-3.6523546794315638</v>
      </c>
      <c r="I2325">
        <v>2.5930000000000002E-2</v>
      </c>
      <c r="J2325" t="str">
        <f t="shared" si="145"/>
        <v>COC(=O)C1=CC=CC=C1OCC1=CC(=O)CC(C1=O)(C)C</v>
      </c>
      <c r="K2325">
        <v>63</v>
      </c>
      <c r="M2325">
        <f t="shared" si="146"/>
        <v>5.4037971934950142E-2</v>
      </c>
      <c r="N2325">
        <f t="shared" si="147"/>
        <v>-0.23433335004202097</v>
      </c>
    </row>
    <row r="2326" spans="1:14" x14ac:dyDescent="0.35">
      <c r="A2326">
        <v>2324</v>
      </c>
      <c r="B2326" t="s">
        <v>31</v>
      </c>
      <c r="C2326" t="s">
        <v>80</v>
      </c>
      <c r="D2326">
        <v>0.5</v>
      </c>
      <c r="E2326">
        <v>0.5</v>
      </c>
      <c r="F2326">
        <v>313.14999999999998</v>
      </c>
      <c r="G2326">
        <v>892</v>
      </c>
      <c r="H2326">
        <f t="shared" si="144"/>
        <v>-3.3914450902194768</v>
      </c>
      <c r="I2326">
        <v>3.3660000000000002E-2</v>
      </c>
      <c r="J2326" t="str">
        <f t="shared" si="145"/>
        <v>COC(=O)C1=CC=CC=C1OCC1=CC(=O)CC(C1=O)(C)C</v>
      </c>
      <c r="K2326">
        <v>63</v>
      </c>
      <c r="M2326">
        <f t="shared" si="146"/>
        <v>5.4037971934950142E-2</v>
      </c>
      <c r="N2326">
        <f t="shared" si="147"/>
        <v>-0.12247625189983084</v>
      </c>
    </row>
    <row r="2327" spans="1:14" x14ac:dyDescent="0.35">
      <c r="A2327">
        <v>2325</v>
      </c>
      <c r="B2327" t="s">
        <v>31</v>
      </c>
      <c r="C2327" t="s">
        <v>80</v>
      </c>
      <c r="D2327">
        <v>0.5</v>
      </c>
      <c r="E2327">
        <v>0.5</v>
      </c>
      <c r="F2327">
        <v>313.14999999999998</v>
      </c>
      <c r="G2327">
        <v>1092</v>
      </c>
      <c r="H2327">
        <f t="shared" si="144"/>
        <v>-0.87947675875143883</v>
      </c>
      <c r="I2327">
        <v>0.41499999999999998</v>
      </c>
      <c r="J2327" t="str">
        <f t="shared" si="145"/>
        <v>COC(=O)C1=CC=CC=C1OCC1=CC(=O)CC(C1=O)(C)C</v>
      </c>
      <c r="K2327">
        <v>63</v>
      </c>
      <c r="M2327">
        <f t="shared" si="146"/>
        <v>5.4037971934950142E-2</v>
      </c>
      <c r="N2327">
        <f t="shared" si="147"/>
        <v>-1.0619153757640743E-2</v>
      </c>
    </row>
    <row r="2328" spans="1:14" x14ac:dyDescent="0.35">
      <c r="A2328">
        <v>2326</v>
      </c>
      <c r="B2328" t="s">
        <v>31</v>
      </c>
      <c r="C2328" t="s">
        <v>80</v>
      </c>
      <c r="D2328">
        <v>0.5</v>
      </c>
      <c r="E2328">
        <v>0.5</v>
      </c>
      <c r="F2328">
        <v>313.14999999999998</v>
      </c>
      <c r="G2328">
        <v>1392</v>
      </c>
      <c r="H2328">
        <f t="shared" si="144"/>
        <v>-2.9282605584389785</v>
      </c>
      <c r="I2328">
        <v>5.3490000000000003E-2</v>
      </c>
      <c r="J2328" t="str">
        <f t="shared" si="145"/>
        <v>COC(=O)C1=CC=CC=C1OCC1=CC(=O)CC(C1=O)(C)C</v>
      </c>
      <c r="K2328">
        <v>63</v>
      </c>
      <c r="M2328">
        <f t="shared" si="146"/>
        <v>5.4037971934950142E-2</v>
      </c>
      <c r="N2328">
        <f t="shared" si="147"/>
        <v>0.1571664934556444</v>
      </c>
    </row>
    <row r="2329" spans="1:14" x14ac:dyDescent="0.35">
      <c r="A2329">
        <v>2327</v>
      </c>
      <c r="B2329" t="s">
        <v>31</v>
      </c>
      <c r="C2329" t="s">
        <v>80</v>
      </c>
      <c r="D2329">
        <v>0.5</v>
      </c>
      <c r="E2329">
        <v>0.5</v>
      </c>
      <c r="F2329">
        <v>313.14999999999998</v>
      </c>
      <c r="G2329">
        <v>1692</v>
      </c>
      <c r="H2329">
        <f t="shared" si="144"/>
        <v>-2.7240271556253508</v>
      </c>
      <c r="I2329">
        <v>6.5610000000000002E-2</v>
      </c>
      <c r="J2329" t="str">
        <f t="shared" si="145"/>
        <v>COC(=O)C1=CC=CC=C1OCC1=CC(=O)CC(C1=O)(C)C</v>
      </c>
      <c r="K2329">
        <v>63</v>
      </c>
      <c r="M2329">
        <f t="shared" si="146"/>
        <v>5.4037971934950142E-2</v>
      </c>
      <c r="N2329">
        <f t="shared" si="147"/>
        <v>0.32495214066892958</v>
      </c>
    </row>
    <row r="2330" spans="1:14" x14ac:dyDescent="0.35">
      <c r="A2330">
        <v>2328</v>
      </c>
      <c r="B2330" t="s">
        <v>31</v>
      </c>
      <c r="C2330" t="s">
        <v>80</v>
      </c>
      <c r="D2330">
        <v>0.5</v>
      </c>
      <c r="E2330">
        <v>0.5</v>
      </c>
      <c r="F2330">
        <v>313.14999999999998</v>
      </c>
      <c r="G2330">
        <v>1992</v>
      </c>
      <c r="H2330">
        <f t="shared" si="144"/>
        <v>-2.551815979071574</v>
      </c>
      <c r="I2330">
        <v>7.7939999999999995E-2</v>
      </c>
      <c r="J2330" t="str">
        <f t="shared" si="145"/>
        <v>COC(=O)C1=CC=CC=C1OCC1=CC(=O)CC(C1=O)(C)C</v>
      </c>
      <c r="K2330">
        <v>63</v>
      </c>
      <c r="M2330">
        <f t="shared" si="146"/>
        <v>5.4037971934950142E-2</v>
      </c>
      <c r="N2330">
        <f t="shared" si="147"/>
        <v>0.49273778788221473</v>
      </c>
    </row>
    <row r="2331" spans="1:14" x14ac:dyDescent="0.35">
      <c r="A2331">
        <v>2329</v>
      </c>
      <c r="B2331" t="s">
        <v>23</v>
      </c>
      <c r="C2331" t="s">
        <v>52</v>
      </c>
      <c r="D2331">
        <v>0.5</v>
      </c>
      <c r="E2331">
        <v>0.5</v>
      </c>
      <c r="F2331">
        <v>298.14999999999998</v>
      </c>
      <c r="G2331">
        <v>92</v>
      </c>
      <c r="H2331">
        <f t="shared" si="144"/>
        <v>-5.6636006850233693</v>
      </c>
      <c r="I2331">
        <v>3.47E-3</v>
      </c>
      <c r="J2331" t="str">
        <f t="shared" si="145"/>
        <v>C1=CC=C(C=C1)CN=C=SCC1=CC(=O)CC(C1=O)(C)C</v>
      </c>
      <c r="K2331">
        <v>1</v>
      </c>
      <c r="M2331">
        <f t="shared" si="146"/>
        <v>-1.1215370428862177</v>
      </c>
      <c r="N2331">
        <f t="shared" si="147"/>
        <v>-0.56990464446859124</v>
      </c>
    </row>
    <row r="2332" spans="1:14" x14ac:dyDescent="0.35">
      <c r="A2332">
        <v>2330</v>
      </c>
      <c r="B2332" t="s">
        <v>23</v>
      </c>
      <c r="C2332" t="s">
        <v>52</v>
      </c>
      <c r="D2332">
        <v>0.5</v>
      </c>
      <c r="E2332">
        <v>0.5</v>
      </c>
      <c r="F2332">
        <v>298.14999999999998</v>
      </c>
      <c r="G2332">
        <v>292</v>
      </c>
      <c r="H2332">
        <f t="shared" si="144"/>
        <v>-4.4882764345165924</v>
      </c>
      <c r="I2332">
        <v>1.124E-2</v>
      </c>
      <c r="J2332" t="str">
        <f t="shared" si="145"/>
        <v>C1=CC=C(C=C1)CN=C=SCC1=CC(=O)CC(C1=O)(C)C</v>
      </c>
      <c r="K2332">
        <v>1</v>
      </c>
      <c r="M2332">
        <f t="shared" si="146"/>
        <v>-1.1215370428862177</v>
      </c>
      <c r="N2332">
        <f t="shared" si="147"/>
        <v>-0.45804754632640116</v>
      </c>
    </row>
    <row r="2333" spans="1:14" x14ac:dyDescent="0.35">
      <c r="A2333">
        <v>2331</v>
      </c>
      <c r="B2333" t="s">
        <v>23</v>
      </c>
      <c r="C2333" t="s">
        <v>52</v>
      </c>
      <c r="D2333">
        <v>0.5</v>
      </c>
      <c r="E2333">
        <v>0.5</v>
      </c>
      <c r="F2333">
        <v>298.14999999999998</v>
      </c>
      <c r="G2333">
        <v>492</v>
      </c>
      <c r="H2333">
        <f t="shared" si="144"/>
        <v>-3.9523243022016716</v>
      </c>
      <c r="I2333">
        <v>1.9210000000000001E-2</v>
      </c>
      <c r="J2333" t="str">
        <f t="shared" si="145"/>
        <v>C1=CC=C(C=C1)CN=C=SCC1=CC(=O)CC(C1=O)(C)C</v>
      </c>
      <c r="K2333">
        <v>1</v>
      </c>
      <c r="M2333">
        <f t="shared" si="146"/>
        <v>-1.1215370428862177</v>
      </c>
      <c r="N2333">
        <f t="shared" si="147"/>
        <v>-0.34619044818421107</v>
      </c>
    </row>
    <row r="2334" spans="1:14" x14ac:dyDescent="0.35">
      <c r="A2334">
        <v>2332</v>
      </c>
      <c r="B2334" t="s">
        <v>23</v>
      </c>
      <c r="C2334" t="s">
        <v>52</v>
      </c>
      <c r="D2334">
        <v>0.5</v>
      </c>
      <c r="E2334">
        <v>0.5</v>
      </c>
      <c r="F2334">
        <v>298.14999999999998</v>
      </c>
      <c r="G2334">
        <v>692</v>
      </c>
      <c r="H2334">
        <f t="shared" si="144"/>
        <v>-3.6060099762916416</v>
      </c>
      <c r="I2334">
        <v>2.716E-2</v>
      </c>
      <c r="J2334" t="str">
        <f t="shared" si="145"/>
        <v>C1=CC=C(C=C1)CN=C=SCC1=CC(=O)CC(C1=O)(C)C</v>
      </c>
      <c r="K2334">
        <v>1</v>
      </c>
      <c r="M2334">
        <f t="shared" si="146"/>
        <v>-1.1215370428862177</v>
      </c>
      <c r="N2334">
        <f t="shared" si="147"/>
        <v>-0.23433335004202097</v>
      </c>
    </row>
    <row r="2335" spans="1:14" x14ac:dyDescent="0.35">
      <c r="A2335">
        <v>2333</v>
      </c>
      <c r="B2335" t="s">
        <v>23</v>
      </c>
      <c r="C2335" t="s">
        <v>52</v>
      </c>
      <c r="D2335">
        <v>0.5</v>
      </c>
      <c r="E2335">
        <v>0.5</v>
      </c>
      <c r="F2335">
        <v>298.14999999999998</v>
      </c>
      <c r="G2335">
        <v>892</v>
      </c>
      <c r="H2335">
        <f t="shared" si="144"/>
        <v>-3.3464251458151759</v>
      </c>
      <c r="I2335">
        <v>3.5209999999999998E-2</v>
      </c>
      <c r="J2335" t="str">
        <f t="shared" si="145"/>
        <v>C1=CC=C(C=C1)CN=C=SCC1=CC(=O)CC(C1=O)(C)C</v>
      </c>
      <c r="K2335">
        <v>1</v>
      </c>
      <c r="M2335">
        <f t="shared" si="146"/>
        <v>-1.1215370428862177</v>
      </c>
      <c r="N2335">
        <f t="shared" si="147"/>
        <v>-0.12247625189983084</v>
      </c>
    </row>
    <row r="2336" spans="1:14" x14ac:dyDescent="0.35">
      <c r="A2336">
        <v>2334</v>
      </c>
      <c r="B2336" t="s">
        <v>23</v>
      </c>
      <c r="C2336" t="s">
        <v>52</v>
      </c>
      <c r="D2336">
        <v>0.5</v>
      </c>
      <c r="E2336">
        <v>0.5</v>
      </c>
      <c r="F2336">
        <v>298.14999999999998</v>
      </c>
      <c r="G2336">
        <v>1092</v>
      </c>
      <c r="H2336">
        <f t="shared" si="144"/>
        <v>-3.1356842339814364</v>
      </c>
      <c r="I2336">
        <v>4.3470000000000002E-2</v>
      </c>
      <c r="J2336" t="str">
        <f t="shared" si="145"/>
        <v>C1=CC=C(C=C1)CN=C=SCC1=CC(=O)CC(C1=O)(C)C</v>
      </c>
      <c r="K2336">
        <v>1</v>
      </c>
      <c r="M2336">
        <f t="shared" si="146"/>
        <v>-1.1215370428862177</v>
      </c>
      <c r="N2336">
        <f t="shared" si="147"/>
        <v>-1.0619153757640743E-2</v>
      </c>
    </row>
    <row r="2337" spans="1:14" x14ac:dyDescent="0.35">
      <c r="A2337">
        <v>2335</v>
      </c>
      <c r="B2337" t="s">
        <v>23</v>
      </c>
      <c r="C2337" t="s">
        <v>52</v>
      </c>
      <c r="D2337">
        <v>0.5</v>
      </c>
      <c r="E2337">
        <v>0.5</v>
      </c>
      <c r="F2337">
        <v>298.14999999999998</v>
      </c>
      <c r="G2337">
        <v>1392</v>
      </c>
      <c r="H2337">
        <f t="shared" si="144"/>
        <v>-2.8806194664534863</v>
      </c>
      <c r="I2337">
        <v>5.6099999999999997E-2</v>
      </c>
      <c r="J2337" t="str">
        <f t="shared" si="145"/>
        <v>C1=CC=C(C=C1)CN=C=SCC1=CC(=O)CC(C1=O)(C)C</v>
      </c>
      <c r="K2337">
        <v>1</v>
      </c>
      <c r="M2337">
        <f t="shared" si="146"/>
        <v>-1.1215370428862177</v>
      </c>
      <c r="N2337">
        <f t="shared" si="147"/>
        <v>0.1571664934556444</v>
      </c>
    </row>
    <row r="2338" spans="1:14" x14ac:dyDescent="0.35">
      <c r="A2338">
        <v>2336</v>
      </c>
      <c r="B2338" t="s">
        <v>23</v>
      </c>
      <c r="C2338" t="s">
        <v>52</v>
      </c>
      <c r="D2338">
        <v>0.5</v>
      </c>
      <c r="E2338">
        <v>0.5</v>
      </c>
      <c r="F2338">
        <v>298.14999999999998</v>
      </c>
      <c r="G2338">
        <v>1692</v>
      </c>
      <c r="H2338">
        <f t="shared" si="144"/>
        <v>-2.6729243991268361</v>
      </c>
      <c r="I2338">
        <v>6.905E-2</v>
      </c>
      <c r="J2338" t="str">
        <f t="shared" si="145"/>
        <v>C1=CC=C(C=C1)CN=C=SCC1=CC(=O)CC(C1=O)(C)C</v>
      </c>
      <c r="K2338">
        <v>1</v>
      </c>
      <c r="M2338">
        <f t="shared" si="146"/>
        <v>-1.1215370428862177</v>
      </c>
      <c r="N2338">
        <f t="shared" si="147"/>
        <v>0.32495214066892958</v>
      </c>
    </row>
    <row r="2339" spans="1:14" x14ac:dyDescent="0.35">
      <c r="A2339">
        <v>2337</v>
      </c>
      <c r="B2339" t="s">
        <v>23</v>
      </c>
      <c r="C2339" t="s">
        <v>52</v>
      </c>
      <c r="D2339">
        <v>0.5</v>
      </c>
      <c r="E2339">
        <v>0.5</v>
      </c>
      <c r="F2339">
        <v>298.14999999999998</v>
      </c>
      <c r="G2339">
        <v>1992</v>
      </c>
      <c r="H2339">
        <f t="shared" si="144"/>
        <v>-2.494593415377544</v>
      </c>
      <c r="I2339">
        <v>8.2530000000000006E-2</v>
      </c>
      <c r="J2339" t="str">
        <f t="shared" si="145"/>
        <v>C1=CC=C(C=C1)CN=C=SCC1=CC(=O)CC(C1=O)(C)C</v>
      </c>
      <c r="K2339">
        <v>1</v>
      </c>
      <c r="M2339">
        <f t="shared" si="146"/>
        <v>-1.1215370428862177</v>
      </c>
      <c r="N2339">
        <f t="shared" si="147"/>
        <v>0.49273778788221473</v>
      </c>
    </row>
    <row r="2340" spans="1:14" x14ac:dyDescent="0.35">
      <c r="A2340">
        <v>2338</v>
      </c>
      <c r="B2340" t="s">
        <v>23</v>
      </c>
      <c r="C2340" t="s">
        <v>52</v>
      </c>
      <c r="D2340">
        <v>0.5</v>
      </c>
      <c r="E2340">
        <v>0.5</v>
      </c>
      <c r="F2340">
        <v>313.14999999999998</v>
      </c>
      <c r="G2340">
        <v>92</v>
      </c>
      <c r="H2340">
        <f t="shared" si="144"/>
        <v>-5.8674785673269909</v>
      </c>
      <c r="I2340">
        <v>2.8300000000000001E-3</v>
      </c>
      <c r="J2340" t="str">
        <f t="shared" si="145"/>
        <v>C1=CC=C(C=C1)CN=C=SCC1=CC(=O)CC(C1=O)(C)C</v>
      </c>
      <c r="K2340">
        <v>1</v>
      </c>
      <c r="M2340">
        <f t="shared" si="146"/>
        <v>5.4037971934950142E-2</v>
      </c>
      <c r="N2340">
        <f t="shared" si="147"/>
        <v>-0.56990464446859124</v>
      </c>
    </row>
    <row r="2341" spans="1:14" x14ac:dyDescent="0.35">
      <c r="A2341">
        <v>2339</v>
      </c>
      <c r="B2341" t="s">
        <v>23</v>
      </c>
      <c r="C2341" t="s">
        <v>52</v>
      </c>
      <c r="D2341">
        <v>0.5</v>
      </c>
      <c r="E2341">
        <v>0.5</v>
      </c>
      <c r="F2341">
        <v>313.14999999999998</v>
      </c>
      <c r="G2341">
        <v>292</v>
      </c>
      <c r="H2341">
        <f t="shared" si="144"/>
        <v>-4.7352788713351117</v>
      </c>
      <c r="I2341">
        <v>8.7799999999999996E-3</v>
      </c>
      <c r="J2341" t="str">
        <f t="shared" si="145"/>
        <v>C1=CC=C(C=C1)CN=C=SCC1=CC(=O)CC(C1=O)(C)C</v>
      </c>
      <c r="K2341">
        <v>1</v>
      </c>
      <c r="M2341">
        <f t="shared" si="146"/>
        <v>5.4037971934950142E-2</v>
      </c>
      <c r="N2341">
        <f t="shared" si="147"/>
        <v>-0.45804754632640116</v>
      </c>
    </row>
    <row r="2342" spans="1:14" x14ac:dyDescent="0.35">
      <c r="A2342">
        <v>2340</v>
      </c>
      <c r="B2342" t="s">
        <v>23</v>
      </c>
      <c r="C2342" t="s">
        <v>52</v>
      </c>
      <c r="D2342">
        <v>0.5</v>
      </c>
      <c r="E2342">
        <v>0.5</v>
      </c>
      <c r="F2342">
        <v>313.14999999999998</v>
      </c>
      <c r="G2342">
        <v>492</v>
      </c>
      <c r="H2342">
        <f t="shared" si="144"/>
        <v>-4.2070654322862193</v>
      </c>
      <c r="I2342">
        <v>1.489E-2</v>
      </c>
      <c r="J2342" t="str">
        <f t="shared" si="145"/>
        <v>C1=CC=C(C=C1)CN=C=SCC1=CC(=O)CC(C1=O)(C)C</v>
      </c>
      <c r="K2342">
        <v>1</v>
      </c>
      <c r="M2342">
        <f t="shared" si="146"/>
        <v>5.4037971934950142E-2</v>
      </c>
      <c r="N2342">
        <f t="shared" si="147"/>
        <v>-0.34619044818421107</v>
      </c>
    </row>
    <row r="2343" spans="1:14" x14ac:dyDescent="0.35">
      <c r="A2343">
        <v>2341</v>
      </c>
      <c r="B2343" t="s">
        <v>23</v>
      </c>
      <c r="C2343" t="s">
        <v>52</v>
      </c>
      <c r="D2343">
        <v>0.5</v>
      </c>
      <c r="E2343">
        <v>0.5</v>
      </c>
      <c r="F2343">
        <v>313.14999999999998</v>
      </c>
      <c r="G2343">
        <v>692</v>
      </c>
      <c r="H2343">
        <f t="shared" si="144"/>
        <v>-3.8627567641252281</v>
      </c>
      <c r="I2343">
        <v>2.1010000000000001E-2</v>
      </c>
      <c r="J2343" t="str">
        <f t="shared" si="145"/>
        <v>C1=CC=C(C=C1)CN=C=SCC1=CC(=O)CC(C1=O)(C)C</v>
      </c>
      <c r="K2343">
        <v>1</v>
      </c>
      <c r="M2343">
        <f t="shared" si="146"/>
        <v>5.4037971934950142E-2</v>
      </c>
      <c r="N2343">
        <f t="shared" si="147"/>
        <v>-0.23433335004202097</v>
      </c>
    </row>
    <row r="2344" spans="1:14" x14ac:dyDescent="0.35">
      <c r="A2344">
        <v>2342</v>
      </c>
      <c r="B2344" t="s">
        <v>23</v>
      </c>
      <c r="C2344" t="s">
        <v>52</v>
      </c>
      <c r="D2344">
        <v>0.5</v>
      </c>
      <c r="E2344">
        <v>0.5</v>
      </c>
      <c r="F2344">
        <v>313.14999999999998</v>
      </c>
      <c r="G2344">
        <v>892</v>
      </c>
      <c r="H2344">
        <f t="shared" si="144"/>
        <v>-3.6115481111776129</v>
      </c>
      <c r="I2344">
        <v>2.7009999999999999E-2</v>
      </c>
      <c r="J2344" t="str">
        <f t="shared" si="145"/>
        <v>C1=CC=C(C=C1)CN=C=SCC1=CC(=O)CC(C1=O)(C)C</v>
      </c>
      <c r="K2344">
        <v>1</v>
      </c>
      <c r="M2344">
        <f t="shared" si="146"/>
        <v>5.4037971934950142E-2</v>
      </c>
      <c r="N2344">
        <f t="shared" si="147"/>
        <v>-0.12247625189983084</v>
      </c>
    </row>
    <row r="2345" spans="1:14" x14ac:dyDescent="0.35">
      <c r="A2345">
        <v>2343</v>
      </c>
      <c r="B2345" t="s">
        <v>23</v>
      </c>
      <c r="C2345" t="s">
        <v>52</v>
      </c>
      <c r="D2345">
        <v>0.5</v>
      </c>
      <c r="E2345">
        <v>0.5</v>
      </c>
      <c r="F2345">
        <v>313.14999999999998</v>
      </c>
      <c r="G2345">
        <v>1092</v>
      </c>
      <c r="H2345">
        <f t="shared" si="144"/>
        <v>-3.4067125623502656</v>
      </c>
      <c r="I2345">
        <v>3.3149999999999999E-2</v>
      </c>
      <c r="J2345" t="str">
        <f t="shared" si="145"/>
        <v>C1=CC=C(C=C1)CN=C=SCC1=CC(=O)CC(C1=O)(C)C</v>
      </c>
      <c r="K2345">
        <v>1</v>
      </c>
      <c r="M2345">
        <f t="shared" si="146"/>
        <v>5.4037971934950142E-2</v>
      </c>
      <c r="N2345">
        <f t="shared" si="147"/>
        <v>-1.0619153757640743E-2</v>
      </c>
    </row>
    <row r="2346" spans="1:14" x14ac:dyDescent="0.35">
      <c r="A2346">
        <v>2344</v>
      </c>
      <c r="B2346" t="s">
        <v>23</v>
      </c>
      <c r="C2346" t="s">
        <v>52</v>
      </c>
      <c r="D2346">
        <v>0.5</v>
      </c>
      <c r="E2346">
        <v>0.5</v>
      </c>
      <c r="F2346">
        <v>313.14999999999998</v>
      </c>
      <c r="G2346">
        <v>1392</v>
      </c>
      <c r="H2346">
        <f t="shared" si="144"/>
        <v>-3.1559010257068123</v>
      </c>
      <c r="I2346">
        <v>4.2599999999999999E-2</v>
      </c>
      <c r="J2346" t="str">
        <f t="shared" si="145"/>
        <v>C1=CC=C(C=C1)CN=C=SCC1=CC(=O)CC(C1=O)(C)C</v>
      </c>
      <c r="K2346">
        <v>1</v>
      </c>
      <c r="M2346">
        <f t="shared" si="146"/>
        <v>5.4037971934950142E-2</v>
      </c>
      <c r="N2346">
        <f t="shared" si="147"/>
        <v>0.1571664934556444</v>
      </c>
    </row>
    <row r="2347" spans="1:14" x14ac:dyDescent="0.35">
      <c r="A2347">
        <v>2345</v>
      </c>
      <c r="B2347" t="s">
        <v>23</v>
      </c>
      <c r="C2347" t="s">
        <v>52</v>
      </c>
      <c r="D2347">
        <v>0.5</v>
      </c>
      <c r="E2347">
        <v>0.5</v>
      </c>
      <c r="F2347">
        <v>313.14999999999998</v>
      </c>
      <c r="G2347">
        <v>1692</v>
      </c>
      <c r="H2347">
        <f t="shared" si="144"/>
        <v>-2.9551663118073295</v>
      </c>
      <c r="I2347">
        <v>5.2069999999999998E-2</v>
      </c>
      <c r="J2347" t="str">
        <f t="shared" si="145"/>
        <v>C1=CC=C(C=C1)CN=C=SCC1=CC(=O)CC(C1=O)(C)C</v>
      </c>
      <c r="K2347">
        <v>1</v>
      </c>
      <c r="M2347">
        <f t="shared" si="146"/>
        <v>5.4037971934950142E-2</v>
      </c>
      <c r="N2347">
        <f t="shared" si="147"/>
        <v>0.32495214066892958</v>
      </c>
    </row>
    <row r="2348" spans="1:14" x14ac:dyDescent="0.35">
      <c r="A2348">
        <v>2346</v>
      </c>
      <c r="B2348" t="s">
        <v>23</v>
      </c>
      <c r="C2348" t="s">
        <v>52</v>
      </c>
      <c r="D2348">
        <v>0.5</v>
      </c>
      <c r="E2348">
        <v>0.5</v>
      </c>
      <c r="F2348">
        <v>313.14999999999998</v>
      </c>
      <c r="G2348">
        <v>1992</v>
      </c>
      <c r="H2348">
        <f t="shared" si="144"/>
        <v>-2.7857955497270632</v>
      </c>
      <c r="I2348">
        <v>6.1679999999999999E-2</v>
      </c>
      <c r="J2348" t="str">
        <f t="shared" si="145"/>
        <v>C1=CC=C(C=C1)CN=C=SCC1=CC(=O)CC(C1=O)(C)C</v>
      </c>
      <c r="K2348">
        <v>1</v>
      </c>
      <c r="M2348">
        <f t="shared" si="146"/>
        <v>5.4037971934950142E-2</v>
      </c>
      <c r="N2348">
        <f t="shared" si="147"/>
        <v>0.49273778788221473</v>
      </c>
    </row>
    <row r="2349" spans="1:14" x14ac:dyDescent="0.35">
      <c r="A2349">
        <v>2347</v>
      </c>
      <c r="B2349" t="s">
        <v>23</v>
      </c>
      <c r="C2349" t="s">
        <v>26</v>
      </c>
      <c r="D2349">
        <v>0.5</v>
      </c>
      <c r="E2349">
        <v>0.5</v>
      </c>
      <c r="F2349">
        <v>298.14999999999998</v>
      </c>
      <c r="G2349">
        <v>92</v>
      </c>
      <c r="H2349">
        <f t="shared" si="144"/>
        <v>-5.7667222744300748</v>
      </c>
      <c r="I2349">
        <v>3.13E-3</v>
      </c>
      <c r="J2349" t="str">
        <f t="shared" si="145"/>
        <v>C1=CC=C(C=C1)CN=C=SCC1=CCC(CC1=O)C(=C)C</v>
      </c>
      <c r="K2349">
        <v>2</v>
      </c>
      <c r="M2349">
        <f t="shared" si="146"/>
        <v>-1.1215370428862177</v>
      </c>
      <c r="N2349">
        <f t="shared" si="147"/>
        <v>-0.56990464446859124</v>
      </c>
    </row>
    <row r="2350" spans="1:14" x14ac:dyDescent="0.35">
      <c r="A2350">
        <v>2348</v>
      </c>
      <c r="B2350" t="s">
        <v>23</v>
      </c>
      <c r="C2350" t="s">
        <v>26</v>
      </c>
      <c r="D2350">
        <v>0.5</v>
      </c>
      <c r="E2350">
        <v>0.5</v>
      </c>
      <c r="F2350">
        <v>298.14999999999998</v>
      </c>
      <c r="G2350">
        <v>292</v>
      </c>
      <c r="H2350">
        <f t="shared" si="144"/>
        <v>-4.6192691103675934</v>
      </c>
      <c r="I2350">
        <v>9.8600000000000007E-3</v>
      </c>
      <c r="J2350" t="str">
        <f t="shared" si="145"/>
        <v>C1=CC=C(C=C1)CN=C=SCC1=CCC(CC1=O)C(=C)C</v>
      </c>
      <c r="K2350">
        <v>2</v>
      </c>
      <c r="M2350">
        <f t="shared" si="146"/>
        <v>-1.1215370428862177</v>
      </c>
      <c r="N2350">
        <f t="shared" si="147"/>
        <v>-0.45804754632640116</v>
      </c>
    </row>
    <row r="2351" spans="1:14" x14ac:dyDescent="0.35">
      <c r="A2351">
        <v>2349</v>
      </c>
      <c r="B2351" t="s">
        <v>23</v>
      </c>
      <c r="C2351" t="s">
        <v>26</v>
      </c>
      <c r="D2351">
        <v>0.5</v>
      </c>
      <c r="E2351">
        <v>0.5</v>
      </c>
      <c r="F2351">
        <v>298.14999999999998</v>
      </c>
      <c r="G2351">
        <v>492</v>
      </c>
      <c r="H2351">
        <f t="shared" si="144"/>
        <v>-4.0971484895548347</v>
      </c>
      <c r="I2351">
        <v>1.6619999999999999E-2</v>
      </c>
      <c r="J2351" t="str">
        <f t="shared" si="145"/>
        <v>C1=CC=C(C=C1)CN=C=SCC1=CCC(CC1=O)C(=C)C</v>
      </c>
      <c r="K2351">
        <v>2</v>
      </c>
      <c r="M2351">
        <f t="shared" si="146"/>
        <v>-1.1215370428862177</v>
      </c>
      <c r="N2351">
        <f t="shared" si="147"/>
        <v>-0.34619044818421107</v>
      </c>
    </row>
    <row r="2352" spans="1:14" x14ac:dyDescent="0.35">
      <c r="A2352">
        <v>2350</v>
      </c>
      <c r="B2352" t="s">
        <v>23</v>
      </c>
      <c r="C2352" t="s">
        <v>26</v>
      </c>
      <c r="D2352">
        <v>0.5</v>
      </c>
      <c r="E2352">
        <v>0.5</v>
      </c>
      <c r="F2352">
        <v>298.14999999999998</v>
      </c>
      <c r="G2352">
        <v>692</v>
      </c>
      <c r="H2352">
        <f t="shared" si="144"/>
        <v>-3.7507548578320238</v>
      </c>
      <c r="I2352">
        <v>2.35E-2</v>
      </c>
      <c r="J2352" t="str">
        <f t="shared" si="145"/>
        <v>C1=CC=C(C=C1)CN=C=SCC1=CCC(CC1=O)C(=C)C</v>
      </c>
      <c r="K2352">
        <v>2</v>
      </c>
      <c r="M2352">
        <f t="shared" si="146"/>
        <v>-1.1215370428862177</v>
      </c>
      <c r="N2352">
        <f t="shared" si="147"/>
        <v>-0.23433335004202097</v>
      </c>
    </row>
    <row r="2353" spans="1:14" x14ac:dyDescent="0.35">
      <c r="A2353">
        <v>2351</v>
      </c>
      <c r="B2353" t="s">
        <v>23</v>
      </c>
      <c r="C2353" t="s">
        <v>26</v>
      </c>
      <c r="D2353">
        <v>0.5</v>
      </c>
      <c r="E2353">
        <v>0.5</v>
      </c>
      <c r="F2353">
        <v>298.14999999999998</v>
      </c>
      <c r="G2353">
        <v>892</v>
      </c>
      <c r="H2353">
        <f t="shared" si="144"/>
        <v>-3.4887179791916507</v>
      </c>
      <c r="I2353">
        <v>3.0540000000000001E-2</v>
      </c>
      <c r="J2353" t="str">
        <f t="shared" si="145"/>
        <v>C1=CC=C(C=C1)CN=C=SCC1=CCC(CC1=O)C(=C)C</v>
      </c>
      <c r="K2353">
        <v>2</v>
      </c>
      <c r="M2353">
        <f t="shared" si="146"/>
        <v>-1.1215370428862177</v>
      </c>
      <c r="N2353">
        <f t="shared" si="147"/>
        <v>-0.12247625189983084</v>
      </c>
    </row>
    <row r="2354" spans="1:14" x14ac:dyDescent="0.35">
      <c r="A2354">
        <v>2352</v>
      </c>
      <c r="B2354" t="s">
        <v>23</v>
      </c>
      <c r="C2354" t="s">
        <v>26</v>
      </c>
      <c r="D2354">
        <v>0.5</v>
      </c>
      <c r="E2354">
        <v>0.5</v>
      </c>
      <c r="F2354">
        <v>298.14999999999998</v>
      </c>
      <c r="G2354">
        <v>1092</v>
      </c>
      <c r="H2354">
        <f t="shared" si="144"/>
        <v>-3.2802194551092527</v>
      </c>
      <c r="I2354">
        <v>3.7620000000000001E-2</v>
      </c>
      <c r="J2354" t="str">
        <f t="shared" si="145"/>
        <v>C1=CC=C(C=C1)CN=C=SCC1=CCC(CC1=O)C(=C)C</v>
      </c>
      <c r="K2354">
        <v>2</v>
      </c>
      <c r="M2354">
        <f t="shared" si="146"/>
        <v>-1.1215370428862177</v>
      </c>
      <c r="N2354">
        <f t="shared" si="147"/>
        <v>-1.0619153757640743E-2</v>
      </c>
    </row>
    <row r="2355" spans="1:14" x14ac:dyDescent="0.35">
      <c r="A2355">
        <v>2353</v>
      </c>
      <c r="B2355" t="s">
        <v>23</v>
      </c>
      <c r="C2355" t="s">
        <v>26</v>
      </c>
      <c r="D2355">
        <v>0.5</v>
      </c>
      <c r="E2355">
        <v>0.5</v>
      </c>
      <c r="F2355">
        <v>298.14999999999998</v>
      </c>
      <c r="G2355">
        <v>1392</v>
      </c>
      <c r="H2355">
        <f t="shared" si="144"/>
        <v>-3.0255731155650123</v>
      </c>
      <c r="I2355">
        <v>4.8529999999999997E-2</v>
      </c>
      <c r="J2355" t="str">
        <f t="shared" si="145"/>
        <v>C1=CC=C(C=C1)CN=C=SCC1=CCC(CC1=O)C(=C)C</v>
      </c>
      <c r="K2355">
        <v>2</v>
      </c>
      <c r="M2355">
        <f t="shared" si="146"/>
        <v>-1.1215370428862177</v>
      </c>
      <c r="N2355">
        <f t="shared" si="147"/>
        <v>0.1571664934556444</v>
      </c>
    </row>
    <row r="2356" spans="1:14" x14ac:dyDescent="0.35">
      <c r="A2356">
        <v>2354</v>
      </c>
      <c r="B2356" t="s">
        <v>23</v>
      </c>
      <c r="C2356" t="s">
        <v>26</v>
      </c>
      <c r="D2356">
        <v>0.5</v>
      </c>
      <c r="E2356">
        <v>0.5</v>
      </c>
      <c r="F2356">
        <v>298.14999999999998</v>
      </c>
      <c r="G2356">
        <v>1692</v>
      </c>
      <c r="H2356">
        <f t="shared" si="144"/>
        <v>-2.817418738157575</v>
      </c>
      <c r="I2356">
        <v>5.9760000000000001E-2</v>
      </c>
      <c r="J2356" t="str">
        <f t="shared" si="145"/>
        <v>C1=CC=C(C=C1)CN=C=SCC1=CCC(CC1=O)C(=C)C</v>
      </c>
      <c r="K2356">
        <v>2</v>
      </c>
      <c r="M2356">
        <f t="shared" si="146"/>
        <v>-1.1215370428862177</v>
      </c>
      <c r="N2356">
        <f t="shared" si="147"/>
        <v>0.32495214066892958</v>
      </c>
    </row>
    <row r="2357" spans="1:14" x14ac:dyDescent="0.35">
      <c r="A2357">
        <v>2355</v>
      </c>
      <c r="B2357" t="s">
        <v>23</v>
      </c>
      <c r="C2357" t="s">
        <v>26</v>
      </c>
      <c r="D2357">
        <v>0.5</v>
      </c>
      <c r="E2357">
        <v>0.5</v>
      </c>
      <c r="F2357">
        <v>298.14999999999998</v>
      </c>
      <c r="G2357">
        <v>1992</v>
      </c>
      <c r="H2357">
        <f t="shared" si="144"/>
        <v>-2.6409992138525999</v>
      </c>
      <c r="I2357">
        <v>7.1290000000000006E-2</v>
      </c>
      <c r="J2357" t="str">
        <f t="shared" si="145"/>
        <v>C1=CC=C(C=C1)CN=C=SCC1=CCC(CC1=O)C(=C)C</v>
      </c>
      <c r="K2357">
        <v>2</v>
      </c>
      <c r="M2357">
        <f t="shared" si="146"/>
        <v>-1.1215370428862177</v>
      </c>
      <c r="N2357">
        <f t="shared" si="147"/>
        <v>0.49273778788221473</v>
      </c>
    </row>
    <row r="2358" spans="1:14" x14ac:dyDescent="0.35">
      <c r="A2358">
        <v>2356</v>
      </c>
      <c r="B2358" t="s">
        <v>29</v>
      </c>
      <c r="C2358" t="s">
        <v>26</v>
      </c>
      <c r="D2358">
        <v>0.25</v>
      </c>
      <c r="E2358">
        <v>0.75</v>
      </c>
      <c r="F2358">
        <v>298.14999999999998</v>
      </c>
      <c r="G2358">
        <v>92</v>
      </c>
      <c r="H2358">
        <f t="shared" si="144"/>
        <v>-5.607563616915658</v>
      </c>
      <c r="I2358">
        <v>3.6700000000000001E-3</v>
      </c>
      <c r="J2358" t="str">
        <f t="shared" si="145"/>
        <v>C1=CC=C2C(=C1)C=CN2CC1=CCC(CC1=O)C(=C)C</v>
      </c>
      <c r="K2358">
        <v>4</v>
      </c>
      <c r="M2358">
        <f t="shared" si="146"/>
        <v>-1.1215370428862177</v>
      </c>
      <c r="N2358">
        <f t="shared" si="147"/>
        <v>-0.56990464446859124</v>
      </c>
    </row>
    <row r="2359" spans="1:14" x14ac:dyDescent="0.35">
      <c r="A2359">
        <v>2357</v>
      </c>
      <c r="B2359" t="s">
        <v>29</v>
      </c>
      <c r="C2359" t="s">
        <v>26</v>
      </c>
      <c r="D2359">
        <v>0.25</v>
      </c>
      <c r="E2359">
        <v>0.75</v>
      </c>
      <c r="F2359">
        <v>298.14999999999998</v>
      </c>
      <c r="G2359">
        <v>292</v>
      </c>
      <c r="H2359">
        <f t="shared" si="144"/>
        <v>-4.5125910046949977</v>
      </c>
      <c r="I2359">
        <v>1.0970000000000001E-2</v>
      </c>
      <c r="J2359" t="str">
        <f t="shared" si="145"/>
        <v>C1=CC=C2C(=C1)C=CN2CC1=CCC(CC1=O)C(=C)C</v>
      </c>
      <c r="K2359">
        <v>4</v>
      </c>
      <c r="M2359">
        <f t="shared" si="146"/>
        <v>-1.1215370428862177</v>
      </c>
      <c r="N2359">
        <f t="shared" si="147"/>
        <v>-0.45804754632640116</v>
      </c>
    </row>
    <row r="2360" spans="1:14" x14ac:dyDescent="0.35">
      <c r="A2360">
        <v>2358</v>
      </c>
      <c r="B2360" t="s">
        <v>29</v>
      </c>
      <c r="C2360" t="s">
        <v>26</v>
      </c>
      <c r="D2360">
        <v>0.25</v>
      </c>
      <c r="E2360">
        <v>0.75</v>
      </c>
      <c r="F2360">
        <v>298.14999999999998</v>
      </c>
      <c r="G2360">
        <v>492</v>
      </c>
      <c r="H2360">
        <f t="shared" si="144"/>
        <v>-3.989444152396731</v>
      </c>
      <c r="I2360">
        <v>1.8509999999999999E-2</v>
      </c>
      <c r="J2360" t="str">
        <f t="shared" si="145"/>
        <v>C1=CC=C2C(=C1)C=CN2CC1=CCC(CC1=O)C(=C)C</v>
      </c>
      <c r="K2360">
        <v>4</v>
      </c>
      <c r="M2360">
        <f t="shared" si="146"/>
        <v>-1.1215370428862177</v>
      </c>
      <c r="N2360">
        <f t="shared" si="147"/>
        <v>-0.34619044818421107</v>
      </c>
    </row>
    <row r="2361" spans="1:14" x14ac:dyDescent="0.35">
      <c r="A2361">
        <v>2359</v>
      </c>
      <c r="B2361" t="s">
        <v>29</v>
      </c>
      <c r="C2361" t="s">
        <v>26</v>
      </c>
      <c r="D2361">
        <v>0.25</v>
      </c>
      <c r="E2361">
        <v>0.75</v>
      </c>
      <c r="F2361">
        <v>298.14999999999998</v>
      </c>
      <c r="G2361">
        <v>692</v>
      </c>
      <c r="H2361">
        <f t="shared" si="144"/>
        <v>-3.6462031798335</v>
      </c>
      <c r="I2361">
        <v>2.6089999999999999E-2</v>
      </c>
      <c r="J2361" t="str">
        <f t="shared" si="145"/>
        <v>C1=CC=C2C(=C1)C=CN2CC1=CCC(CC1=O)C(=C)C</v>
      </c>
      <c r="K2361">
        <v>4</v>
      </c>
      <c r="M2361">
        <f t="shared" si="146"/>
        <v>-1.1215370428862177</v>
      </c>
      <c r="N2361">
        <f t="shared" si="147"/>
        <v>-0.23433335004202097</v>
      </c>
    </row>
    <row r="2362" spans="1:14" x14ac:dyDescent="0.35">
      <c r="A2362">
        <v>2360</v>
      </c>
      <c r="B2362" t="s">
        <v>29</v>
      </c>
      <c r="C2362" t="s">
        <v>26</v>
      </c>
      <c r="D2362">
        <v>0.25</v>
      </c>
      <c r="E2362">
        <v>0.75</v>
      </c>
      <c r="F2362">
        <v>298.14999999999998</v>
      </c>
      <c r="G2362">
        <v>892</v>
      </c>
      <c r="H2362">
        <f t="shared" si="144"/>
        <v>-3.3920394438773895</v>
      </c>
      <c r="I2362">
        <v>3.3640000000000003E-2</v>
      </c>
      <c r="J2362" t="str">
        <f t="shared" si="145"/>
        <v>C1=CC=C2C(=C1)C=CN2CC1=CCC(CC1=O)C(=C)C</v>
      </c>
      <c r="K2362">
        <v>4</v>
      </c>
      <c r="M2362">
        <f t="shared" si="146"/>
        <v>-1.1215370428862177</v>
      </c>
      <c r="N2362">
        <f t="shared" si="147"/>
        <v>-0.12247625189983084</v>
      </c>
    </row>
    <row r="2363" spans="1:14" x14ac:dyDescent="0.35">
      <c r="A2363">
        <v>2361</v>
      </c>
      <c r="B2363" t="s">
        <v>29</v>
      </c>
      <c r="C2363" t="s">
        <v>26</v>
      </c>
      <c r="D2363">
        <v>0.25</v>
      </c>
      <c r="E2363">
        <v>0.75</v>
      </c>
      <c r="F2363">
        <v>298.14999999999998</v>
      </c>
      <c r="G2363">
        <v>1092</v>
      </c>
      <c r="H2363">
        <f t="shared" si="144"/>
        <v>-3.1851992985088171</v>
      </c>
      <c r="I2363">
        <v>4.1369999999999997E-2</v>
      </c>
      <c r="J2363" t="str">
        <f t="shared" si="145"/>
        <v>C1=CC=C2C(=C1)C=CN2CC1=CCC(CC1=O)C(=C)C</v>
      </c>
      <c r="K2363">
        <v>4</v>
      </c>
      <c r="M2363">
        <f t="shared" si="146"/>
        <v>-1.1215370428862177</v>
      </c>
      <c r="N2363">
        <f t="shared" si="147"/>
        <v>-1.0619153757640743E-2</v>
      </c>
    </row>
    <row r="2364" spans="1:14" x14ac:dyDescent="0.35">
      <c r="A2364">
        <v>2362</v>
      </c>
      <c r="B2364" t="s">
        <v>29</v>
      </c>
      <c r="C2364" t="s">
        <v>26</v>
      </c>
      <c r="D2364">
        <v>0.25</v>
      </c>
      <c r="E2364">
        <v>0.75</v>
      </c>
      <c r="F2364">
        <v>298.14999999999998</v>
      </c>
      <c r="G2364">
        <v>1392</v>
      </c>
      <c r="H2364">
        <f t="shared" si="144"/>
        <v>-2.933321013432594</v>
      </c>
      <c r="I2364">
        <v>5.3220000000000003E-2</v>
      </c>
      <c r="J2364" t="str">
        <f t="shared" si="145"/>
        <v>C1=CC=C2C(=C1)C=CN2CC1=CCC(CC1=O)C(=C)C</v>
      </c>
      <c r="K2364">
        <v>4</v>
      </c>
      <c r="M2364">
        <f t="shared" si="146"/>
        <v>-1.1215370428862177</v>
      </c>
      <c r="N2364">
        <f t="shared" si="147"/>
        <v>0.1571664934556444</v>
      </c>
    </row>
    <row r="2365" spans="1:14" x14ac:dyDescent="0.35">
      <c r="A2365">
        <v>2363</v>
      </c>
      <c r="B2365" t="s">
        <v>29</v>
      </c>
      <c r="C2365" t="s">
        <v>26</v>
      </c>
      <c r="D2365">
        <v>0.25</v>
      </c>
      <c r="E2365">
        <v>0.75</v>
      </c>
      <c r="F2365">
        <v>298.14999999999998</v>
      </c>
      <c r="G2365">
        <v>1692</v>
      </c>
      <c r="H2365">
        <f t="shared" si="144"/>
        <v>-2.7275388776860727</v>
      </c>
      <c r="I2365">
        <v>6.5379999999999994E-2</v>
      </c>
      <c r="J2365" t="str">
        <f t="shared" si="145"/>
        <v>C1=CC=C2C(=C1)C=CN2CC1=CCC(CC1=O)C(=C)C</v>
      </c>
      <c r="K2365">
        <v>4</v>
      </c>
      <c r="M2365">
        <f t="shared" si="146"/>
        <v>-1.1215370428862177</v>
      </c>
      <c r="N2365">
        <f t="shared" si="147"/>
        <v>0.32495214066892958</v>
      </c>
    </row>
    <row r="2366" spans="1:14" x14ac:dyDescent="0.35">
      <c r="A2366">
        <v>2364</v>
      </c>
      <c r="B2366" t="s">
        <v>29</v>
      </c>
      <c r="C2366" t="s">
        <v>26</v>
      </c>
      <c r="D2366">
        <v>0.25</v>
      </c>
      <c r="E2366">
        <v>0.75</v>
      </c>
      <c r="F2366">
        <v>298.14999999999998</v>
      </c>
      <c r="G2366">
        <v>1992</v>
      </c>
      <c r="H2366">
        <f t="shared" si="144"/>
        <v>-2.5538709502545358</v>
      </c>
      <c r="I2366">
        <v>7.7780000000000002E-2</v>
      </c>
      <c r="J2366" t="str">
        <f t="shared" si="145"/>
        <v>C1=CC=C2C(=C1)C=CN2CC1=CCC(CC1=O)C(=C)C</v>
      </c>
      <c r="K2366">
        <v>4</v>
      </c>
      <c r="M2366">
        <f t="shared" si="146"/>
        <v>-1.1215370428862177</v>
      </c>
      <c r="N2366">
        <f t="shared" si="147"/>
        <v>0.49273778788221473</v>
      </c>
    </row>
    <row r="2367" spans="1:14" x14ac:dyDescent="0.35">
      <c r="A2367">
        <v>2365</v>
      </c>
      <c r="B2367" t="s">
        <v>29</v>
      </c>
      <c r="C2367" t="s">
        <v>59</v>
      </c>
      <c r="D2367">
        <v>0.25</v>
      </c>
      <c r="E2367">
        <v>0.75</v>
      </c>
      <c r="F2367">
        <v>298.14999999999998</v>
      </c>
      <c r="G2367">
        <v>92</v>
      </c>
      <c r="H2367">
        <f t="shared" si="144"/>
        <v>-5.7571832513833163</v>
      </c>
      <c r="I2367">
        <v>3.16E-3</v>
      </c>
      <c r="J2367" t="str">
        <f t="shared" si="145"/>
        <v>C1=CC=C2C(=C1)C=CN2COC(=O)C1=CC=CC=C1O</v>
      </c>
      <c r="K2367">
        <v>6</v>
      </c>
      <c r="M2367">
        <f t="shared" si="146"/>
        <v>-1.1215370428862177</v>
      </c>
      <c r="N2367">
        <f t="shared" si="147"/>
        <v>-0.56990464446859124</v>
      </c>
    </row>
    <row r="2368" spans="1:14" x14ac:dyDescent="0.35">
      <c r="A2368">
        <v>2366</v>
      </c>
      <c r="B2368" t="s">
        <v>29</v>
      </c>
      <c r="C2368" t="s">
        <v>59</v>
      </c>
      <c r="D2368">
        <v>0.25</v>
      </c>
      <c r="E2368">
        <v>0.75</v>
      </c>
      <c r="F2368">
        <v>298.14999999999998</v>
      </c>
      <c r="G2368">
        <v>292</v>
      </c>
      <c r="H2368">
        <f t="shared" si="144"/>
        <v>-4.6263938224397183</v>
      </c>
      <c r="I2368">
        <v>9.7900000000000001E-3</v>
      </c>
      <c r="J2368" t="str">
        <f t="shared" si="145"/>
        <v>C1=CC=C2C(=C1)C=CN2COC(=O)C1=CC=CC=C1O</v>
      </c>
      <c r="K2368">
        <v>6</v>
      </c>
      <c r="M2368">
        <f t="shared" si="146"/>
        <v>-1.1215370428862177</v>
      </c>
      <c r="N2368">
        <f t="shared" si="147"/>
        <v>-0.45804754632640116</v>
      </c>
    </row>
    <row r="2369" spans="1:14" x14ac:dyDescent="0.35">
      <c r="A2369">
        <v>2367</v>
      </c>
      <c r="B2369" t="s">
        <v>29</v>
      </c>
      <c r="C2369" t="s">
        <v>59</v>
      </c>
      <c r="D2369">
        <v>0.25</v>
      </c>
      <c r="E2369">
        <v>0.75</v>
      </c>
      <c r="F2369">
        <v>298.14999999999998</v>
      </c>
      <c r="G2369">
        <v>492</v>
      </c>
      <c r="H2369">
        <f t="shared" si="144"/>
        <v>-4.0977503553569337</v>
      </c>
      <c r="I2369">
        <v>1.661E-2</v>
      </c>
      <c r="J2369" t="str">
        <f t="shared" si="145"/>
        <v>C1=CC=C2C(=C1)C=CN2COC(=O)C1=CC=CC=C1O</v>
      </c>
      <c r="K2369">
        <v>6</v>
      </c>
      <c r="M2369">
        <f t="shared" si="146"/>
        <v>-1.1215370428862177</v>
      </c>
      <c r="N2369">
        <f t="shared" si="147"/>
        <v>-0.34619044818421107</v>
      </c>
    </row>
    <row r="2370" spans="1:14" x14ac:dyDescent="0.35">
      <c r="A2370">
        <v>2368</v>
      </c>
      <c r="B2370" t="s">
        <v>29</v>
      </c>
      <c r="C2370" t="s">
        <v>59</v>
      </c>
      <c r="D2370">
        <v>0.25</v>
      </c>
      <c r="E2370">
        <v>0.75</v>
      </c>
      <c r="F2370">
        <v>298.14999999999998</v>
      </c>
      <c r="G2370">
        <v>692</v>
      </c>
      <c r="H2370">
        <f t="shared" si="144"/>
        <v>-3.7528847840898489</v>
      </c>
      <c r="I2370">
        <v>2.3449999999999999E-2</v>
      </c>
      <c r="J2370" t="str">
        <f t="shared" si="145"/>
        <v>C1=CC=C2C(=C1)C=CN2COC(=O)C1=CC=CC=C1O</v>
      </c>
      <c r="K2370">
        <v>6</v>
      </c>
      <c r="M2370">
        <f t="shared" si="146"/>
        <v>-1.1215370428862177</v>
      </c>
      <c r="N2370">
        <f t="shared" si="147"/>
        <v>-0.23433335004202097</v>
      </c>
    </row>
    <row r="2371" spans="1:14" x14ac:dyDescent="0.35">
      <c r="A2371">
        <v>2369</v>
      </c>
      <c r="B2371" t="s">
        <v>29</v>
      </c>
      <c r="C2371" t="s">
        <v>59</v>
      </c>
      <c r="D2371">
        <v>0.25</v>
      </c>
      <c r="E2371">
        <v>0.75</v>
      </c>
      <c r="F2371">
        <v>298.14999999999998</v>
      </c>
      <c r="G2371">
        <v>892</v>
      </c>
      <c r="H2371">
        <f t="shared" ref="H2371:H2384" si="148">LN(I2371)</f>
        <v>-3.4929837772928636</v>
      </c>
      <c r="I2371">
        <v>3.041E-2</v>
      </c>
      <c r="J2371" t="str">
        <f t="shared" ref="J2371:J2384" si="149">_xlfn.CONCAT(B2371,C2371)</f>
        <v>C1=CC=C2C(=C1)C=CN2COC(=O)C1=CC=CC=C1O</v>
      </c>
      <c r="K2371">
        <v>6</v>
      </c>
      <c r="M2371">
        <f t="shared" ref="M2371:M2384" si="150">(F2371-$L$3)/$L$2</f>
        <v>-1.1215370428862177</v>
      </c>
      <c r="N2371">
        <f t="shared" ref="N2371:N2384" si="151">(G2371-$L$6)/$L$5</f>
        <v>-0.12247625189983084</v>
      </c>
    </row>
    <row r="2372" spans="1:14" x14ac:dyDescent="0.35">
      <c r="A2372">
        <v>2370</v>
      </c>
      <c r="B2372" t="s">
        <v>29</v>
      </c>
      <c r="C2372" t="s">
        <v>59</v>
      </c>
      <c r="D2372">
        <v>0.25</v>
      </c>
      <c r="E2372">
        <v>0.75</v>
      </c>
      <c r="F2372">
        <v>298.14999999999998</v>
      </c>
      <c r="G2372">
        <v>1092</v>
      </c>
      <c r="H2372">
        <f t="shared" si="148"/>
        <v>-3.2823482478237742</v>
      </c>
      <c r="I2372">
        <v>3.7539999999999997E-2</v>
      </c>
      <c r="J2372" t="str">
        <f t="shared" si="149"/>
        <v>C1=CC=C2C(=C1)C=CN2COC(=O)C1=CC=CC=C1O</v>
      </c>
      <c r="K2372">
        <v>6</v>
      </c>
      <c r="M2372">
        <f t="shared" si="150"/>
        <v>-1.1215370428862177</v>
      </c>
      <c r="N2372">
        <f t="shared" si="151"/>
        <v>-1.0619153757640743E-2</v>
      </c>
    </row>
    <row r="2373" spans="1:14" x14ac:dyDescent="0.35">
      <c r="A2373">
        <v>2371</v>
      </c>
      <c r="B2373" t="s">
        <v>29</v>
      </c>
      <c r="C2373" t="s">
        <v>59</v>
      </c>
      <c r="D2373">
        <v>0.25</v>
      </c>
      <c r="E2373">
        <v>0.75</v>
      </c>
      <c r="F2373">
        <v>298.14999999999998</v>
      </c>
      <c r="G2373">
        <v>1392</v>
      </c>
      <c r="H2373">
        <f t="shared" si="148"/>
        <v>-3.0305307790966864</v>
      </c>
      <c r="I2373">
        <v>4.829E-2</v>
      </c>
      <c r="J2373" t="str">
        <f t="shared" si="149"/>
        <v>C1=CC=C2C(=C1)C=CN2COC(=O)C1=CC=CC=C1O</v>
      </c>
      <c r="K2373">
        <v>6</v>
      </c>
      <c r="M2373">
        <f t="shared" si="150"/>
        <v>-1.1215370428862177</v>
      </c>
      <c r="N2373">
        <f t="shared" si="151"/>
        <v>0.1571664934556444</v>
      </c>
    </row>
    <row r="2374" spans="1:14" x14ac:dyDescent="0.35">
      <c r="A2374">
        <v>2372</v>
      </c>
      <c r="B2374" t="s">
        <v>29</v>
      </c>
      <c r="C2374" t="s">
        <v>59</v>
      </c>
      <c r="D2374">
        <v>0.25</v>
      </c>
      <c r="E2374">
        <v>0.75</v>
      </c>
      <c r="F2374">
        <v>298.14999999999998</v>
      </c>
      <c r="G2374">
        <v>1692</v>
      </c>
      <c r="H2374">
        <f t="shared" si="148"/>
        <v>-2.8219470477823227</v>
      </c>
      <c r="I2374">
        <v>5.9490000000000001E-2</v>
      </c>
      <c r="J2374" t="str">
        <f t="shared" si="149"/>
        <v>C1=CC=C2C(=C1)C=CN2COC(=O)C1=CC=CC=C1O</v>
      </c>
      <c r="K2374">
        <v>6</v>
      </c>
      <c r="M2374">
        <f t="shared" si="150"/>
        <v>-1.1215370428862177</v>
      </c>
      <c r="N2374">
        <f t="shared" si="151"/>
        <v>0.32495214066892958</v>
      </c>
    </row>
    <row r="2375" spans="1:14" x14ac:dyDescent="0.35">
      <c r="A2375">
        <v>2373</v>
      </c>
      <c r="B2375" t="s">
        <v>29</v>
      </c>
      <c r="C2375" t="s">
        <v>59</v>
      </c>
      <c r="D2375">
        <v>0.25</v>
      </c>
      <c r="E2375">
        <v>0.75</v>
      </c>
      <c r="F2375">
        <v>298.14999999999998</v>
      </c>
      <c r="G2375">
        <v>1992</v>
      </c>
      <c r="H2375">
        <f t="shared" si="148"/>
        <v>-2.6447937514671951</v>
      </c>
      <c r="I2375">
        <v>7.102E-2</v>
      </c>
      <c r="J2375" t="str">
        <f t="shared" si="149"/>
        <v>C1=CC=C2C(=C1)C=CN2COC(=O)C1=CC=CC=C1O</v>
      </c>
      <c r="K2375">
        <v>6</v>
      </c>
      <c r="M2375">
        <f t="shared" si="150"/>
        <v>-1.1215370428862177</v>
      </c>
      <c r="N2375">
        <f t="shared" si="151"/>
        <v>0.49273778788221473</v>
      </c>
    </row>
    <row r="2376" spans="1:14" x14ac:dyDescent="0.35">
      <c r="A2376">
        <v>2374</v>
      </c>
      <c r="B2376" t="s">
        <v>33</v>
      </c>
      <c r="C2376" t="s">
        <v>41</v>
      </c>
      <c r="D2376">
        <v>0.4</v>
      </c>
      <c r="E2376">
        <v>0.6</v>
      </c>
      <c r="F2376">
        <v>298.10000000000002</v>
      </c>
      <c r="G2376">
        <v>350</v>
      </c>
      <c r="H2376">
        <f t="shared" si="148"/>
        <v>-3.2312237664013446</v>
      </c>
      <c r="I2376">
        <v>3.9509119259119263E-2</v>
      </c>
      <c r="J2376" t="str">
        <f t="shared" si="149"/>
        <v>CC1=CC(=C(C=C1)C(C)C)OCC1(C2CCC1(C(=O)C2)C)C</v>
      </c>
      <c r="K2376">
        <v>16</v>
      </c>
      <c r="M2376">
        <f t="shared" si="150"/>
        <v>-1.1254556262689515</v>
      </c>
      <c r="N2376">
        <f t="shared" si="151"/>
        <v>-0.42560898786516604</v>
      </c>
    </row>
    <row r="2377" spans="1:14" x14ac:dyDescent="0.35">
      <c r="A2377">
        <v>2375</v>
      </c>
      <c r="B2377" t="s">
        <v>33</v>
      </c>
      <c r="C2377" t="s">
        <v>41</v>
      </c>
      <c r="D2377">
        <v>0.4</v>
      </c>
      <c r="E2377">
        <v>0.6</v>
      </c>
      <c r="F2377">
        <v>301.8</v>
      </c>
      <c r="G2377">
        <v>173.2</v>
      </c>
      <c r="H2377">
        <f t="shared" si="148"/>
        <v>-4.0571912515529744</v>
      </c>
      <c r="I2377">
        <v>1.729753537408675E-2</v>
      </c>
      <c r="J2377" t="str">
        <f t="shared" si="149"/>
        <v>CC1=CC(=C(C=C1)C(C)C)OCC1(C2CCC1(C(=O)C2)C)C</v>
      </c>
      <c r="K2377">
        <v>16</v>
      </c>
      <c r="M2377">
        <f t="shared" si="150"/>
        <v>-0.83548045594639764</v>
      </c>
      <c r="N2377">
        <f t="shared" si="151"/>
        <v>-0.52449066262286204</v>
      </c>
    </row>
    <row r="2378" spans="1:14" x14ac:dyDescent="0.35">
      <c r="A2378">
        <v>2376</v>
      </c>
      <c r="B2378" t="s">
        <v>33</v>
      </c>
      <c r="C2378" t="s">
        <v>41</v>
      </c>
      <c r="D2378">
        <v>0.4</v>
      </c>
      <c r="E2378">
        <v>0.6</v>
      </c>
      <c r="F2378">
        <v>301.8</v>
      </c>
      <c r="G2378">
        <v>526.79999999999995</v>
      </c>
      <c r="H2378">
        <f t="shared" si="148"/>
        <v>-2.7873577394919673</v>
      </c>
      <c r="I2378">
        <v>6.1583719359197084E-2</v>
      </c>
      <c r="J2378" t="str">
        <f t="shared" si="149"/>
        <v>CC1=CC(=C(C=C1)C(C)C)OCC1(C2CCC1(C(=O)C2)C)C</v>
      </c>
      <c r="K2378">
        <v>16</v>
      </c>
      <c r="M2378">
        <f t="shared" si="150"/>
        <v>-0.83548045594639764</v>
      </c>
      <c r="N2378">
        <f t="shared" si="151"/>
        <v>-0.32672731310747</v>
      </c>
    </row>
    <row r="2379" spans="1:14" x14ac:dyDescent="0.35">
      <c r="A2379">
        <v>2377</v>
      </c>
      <c r="B2379" t="s">
        <v>33</v>
      </c>
      <c r="C2379" t="s">
        <v>41</v>
      </c>
      <c r="D2379">
        <v>0.4</v>
      </c>
      <c r="E2379">
        <v>0.6</v>
      </c>
      <c r="F2379">
        <v>310.60000000000002</v>
      </c>
      <c r="G2379">
        <v>100</v>
      </c>
      <c r="H2379">
        <f t="shared" si="148"/>
        <v>-4.8200770410670613</v>
      </c>
      <c r="I2379">
        <v>8.0661656891495587E-3</v>
      </c>
      <c r="J2379" t="str">
        <f t="shared" si="149"/>
        <v>CC1=CC(=C(C=C1)C(C)C)OCC1(C2CCC1(C(=O)C2)C)C</v>
      </c>
      <c r="K2379">
        <v>16</v>
      </c>
      <c r="M2379">
        <f t="shared" si="150"/>
        <v>-0.14580978058464483</v>
      </c>
      <c r="N2379">
        <f t="shared" si="151"/>
        <v>-0.56543036054290363</v>
      </c>
    </row>
    <row r="2380" spans="1:14" x14ac:dyDescent="0.35">
      <c r="A2380">
        <v>2378</v>
      </c>
      <c r="B2380" t="s">
        <v>33</v>
      </c>
      <c r="C2380" t="s">
        <v>41</v>
      </c>
      <c r="D2380">
        <v>0.4</v>
      </c>
      <c r="E2380">
        <v>0.6</v>
      </c>
      <c r="F2380">
        <v>310.60000000000002</v>
      </c>
      <c r="G2380">
        <v>350</v>
      </c>
      <c r="H2380">
        <f t="shared" si="148"/>
        <v>-3.4092916599388738</v>
      </c>
      <c r="I2380">
        <v>3.3064613072877551E-2</v>
      </c>
      <c r="J2380" t="str">
        <f t="shared" si="149"/>
        <v>CC1=CC(=C(C=C1)C(C)C)OCC1(C2CCC1(C(=O)C2)C)C</v>
      </c>
      <c r="K2380">
        <v>16</v>
      </c>
      <c r="M2380">
        <f t="shared" si="150"/>
        <v>-0.14580978058464483</v>
      </c>
      <c r="N2380">
        <f t="shared" si="151"/>
        <v>-0.42560898786516604</v>
      </c>
    </row>
    <row r="2381" spans="1:14" x14ac:dyDescent="0.35">
      <c r="A2381">
        <v>2379</v>
      </c>
      <c r="B2381" t="s">
        <v>33</v>
      </c>
      <c r="C2381" t="s">
        <v>41</v>
      </c>
      <c r="D2381">
        <v>0.4</v>
      </c>
      <c r="E2381">
        <v>0.6</v>
      </c>
      <c r="F2381">
        <v>310.60000000000002</v>
      </c>
      <c r="G2381">
        <v>600</v>
      </c>
      <c r="H2381">
        <f t="shared" si="148"/>
        <v>-2.8245699508723749</v>
      </c>
      <c r="I2381">
        <v>5.9334167950693392E-2</v>
      </c>
      <c r="J2381" t="str">
        <f t="shared" si="149"/>
        <v>CC1=CC(=C(C=C1)C(C)C)OCC1(C2CCC1(C(=O)C2)C)C</v>
      </c>
      <c r="K2381">
        <v>16</v>
      </c>
      <c r="M2381">
        <f t="shared" si="150"/>
        <v>-0.14580978058464483</v>
      </c>
      <c r="N2381">
        <f t="shared" si="151"/>
        <v>-0.2857876151874284</v>
      </c>
    </row>
    <row r="2382" spans="1:14" x14ac:dyDescent="0.35">
      <c r="A2382">
        <v>2380</v>
      </c>
      <c r="B2382" t="s">
        <v>33</v>
      </c>
      <c r="C2382" t="s">
        <v>41</v>
      </c>
      <c r="D2382">
        <v>0.4</v>
      </c>
      <c r="E2382">
        <v>0.6</v>
      </c>
      <c r="F2382">
        <v>319.5</v>
      </c>
      <c r="G2382">
        <v>173.2</v>
      </c>
      <c r="H2382">
        <f t="shared" si="148"/>
        <v>-4.5949153255966131</v>
      </c>
      <c r="I2382">
        <v>1.0103076216712583E-2</v>
      </c>
      <c r="J2382" t="str">
        <f t="shared" si="149"/>
        <v>CC1=CC(=C(C=C1)C(C)C)OCC1(C2CCC1(C(=O)C2)C)C</v>
      </c>
      <c r="K2382">
        <v>16</v>
      </c>
      <c r="M2382">
        <f t="shared" si="150"/>
        <v>0.55169806154257972</v>
      </c>
      <c r="N2382">
        <f t="shared" si="151"/>
        <v>-0.52449066262286204</v>
      </c>
    </row>
    <row r="2383" spans="1:14" x14ac:dyDescent="0.35">
      <c r="A2383">
        <v>2381</v>
      </c>
      <c r="B2383" t="s">
        <v>33</v>
      </c>
      <c r="C2383" t="s">
        <v>41</v>
      </c>
      <c r="D2383">
        <v>0.4</v>
      </c>
      <c r="E2383">
        <v>0.6</v>
      </c>
      <c r="F2383">
        <v>319.5</v>
      </c>
      <c r="G2383">
        <v>526.79999999999995</v>
      </c>
      <c r="H2383">
        <f t="shared" si="148"/>
        <v>-3.1269736351495161</v>
      </c>
      <c r="I2383">
        <v>4.3850303662934145E-2</v>
      </c>
      <c r="J2383" t="str">
        <f t="shared" si="149"/>
        <v>CC1=CC(=C(C=C1)C(C)C)OCC1(C2CCC1(C(=O)C2)C)C</v>
      </c>
      <c r="K2383">
        <v>16</v>
      </c>
      <c r="M2383">
        <f t="shared" si="150"/>
        <v>0.55169806154257972</v>
      </c>
      <c r="N2383">
        <f t="shared" si="151"/>
        <v>-0.32672731310747</v>
      </c>
    </row>
    <row r="2384" spans="1:14" x14ac:dyDescent="0.35">
      <c r="A2384">
        <v>2382</v>
      </c>
      <c r="B2384" t="s">
        <v>33</v>
      </c>
      <c r="C2384" t="s">
        <v>41</v>
      </c>
      <c r="D2384">
        <v>0.4</v>
      </c>
      <c r="E2384">
        <v>0.6</v>
      </c>
      <c r="F2384">
        <v>323.10000000000002</v>
      </c>
      <c r="G2384">
        <v>350</v>
      </c>
      <c r="H2384">
        <f t="shared" si="148"/>
        <v>-3.6231102410830771</v>
      </c>
      <c r="I2384">
        <v>2.6699505320141859E-2</v>
      </c>
      <c r="J2384" t="str">
        <f t="shared" si="149"/>
        <v>CC1=CC(=C(C=C1)C(C)C)OCC1(C2CCC1(C(=O)C2)C)C</v>
      </c>
      <c r="K2384">
        <v>16</v>
      </c>
      <c r="M2384">
        <f t="shared" si="150"/>
        <v>0.83383606509966179</v>
      </c>
      <c r="N2384">
        <f t="shared" si="151"/>
        <v>-0.42560898786516604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Qi-Lab</dc:creator>
  <cp:lastModifiedBy>新泽 尤</cp:lastModifiedBy>
  <dcterms:created xsi:type="dcterms:W3CDTF">2015-06-05T18:19:34Z</dcterms:created>
  <dcterms:modified xsi:type="dcterms:W3CDTF">2025-09-29T08:49:03Z</dcterms:modified>
</cp:coreProperties>
</file>